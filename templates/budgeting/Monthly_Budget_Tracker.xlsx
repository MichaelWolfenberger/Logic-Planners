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<sst xmlns="http://schemas.openxmlformats.org/spreadsheetml/2006/main" count="36" uniqueCount="34">
  <si>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🌱  MONTHLY BUDGET TRACKER</t>
  </si>
  <si>
    <t xml:space="preserve">Know where every dollar goes — and make it work harder for you.</t>
  </si>
  <si>
    <t xml:space="preserve">MONTHLY INCOME</t>
  </si>
  <si>
    <t xml:space="preserve">TOTAL EXPENSES</t>
  </si>
  <si>
    <t xml:space="preserve">NET SAVINGS</t>
  </si>
  <si>
    <t xml:space="preserve">SAVINGS RATE</t>
  </si>
  <si>
    <t xml:space="preserve">Category</t>
  </si>
  <si>
    <t xml:space="preserve">Budget</t>
  </si>
  <si>
    <t xml:space="preserve">Actual</t>
  </si>
  <si>
    <t xml:space="preserve">Difference</t>
  </si>
  <si>
    <t xml:space="preserve">Status</t>
  </si>
  <si>
    <t xml:space="preserve">TOTAL</t>
  </si>
  <si>
    <t xml:space="preserve">Monthly Budget — Detail Entry</t>
  </si>
  <si>
    <t xml:space="preserve">Blue = enter your values  |  Enter month name in B1 above</t>
  </si>
  <si>
    <t xml:space="preserve">INCOME</t>
  </si>
  <si>
    <t xml:space="preserve">#</t>
  </si>
  <si>
    <t xml:space="preserve">Budgeted</t>
  </si>
  <si>
    <t xml:space="preserve">Actual Spent</t>
  </si>
  <si>
    <t xml:space="preserve">Notes</t>
  </si>
  <si>
    <t xml:space="preserve">Housing / Rent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</si>
  <si>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</si>
  <si>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</si>
  <si>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</si>
  <si>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</si>
  <si>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Healthcare</t>
  </si>
  <si>
    <t xml:space="preserve">Subscriptions</t>
  </si>
  <si>
    <t xml:space="preserve">Dining Out</t>
  </si>
  <si>
    <t xml:space="preserve">Entertainment</t>
  </si>
  <si>
    <t xml:space="preserve">Clothing</t>
  </si>
  <si>
    <t xml:space="preserve">Personal Care</t>
  </si>
  <si>
    <t xml:space="preserve">Savings / Investments</t>
  </si>
  <si>
    <t xml:space="preserve">Debt Payments</t>
  </si>
  <si>
    <t xml:space="preserve">Emergency Fund</t>
  </si>
  <si>
    <t xml:space="preserve">Miscellaneous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</si>
</sst>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3F7A5E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3F7A5E"/>
        <bgColor rgb="FF666699"/>
      </patternFill>
    </fill>
    <fill>
      <patternFill patternType="solid">
        <fgColor rgb="FFEDF5F0"/>
        <bgColor rgb="FFEEF5F0"/>
      </patternFill>
    </fill>
    <fill>
      <patternFill patternType="solid">
        <fgColor rgb="FFFFFFFF"/>
        <bgColor rgb="FFEEF5F0"/>
      </patternFill>
    </fill>
    <fill>
      <patternFill patternType="solid">
        <fgColor rgb="FFE8F5EE"/>
        <bgColor rgb="FFEDF5F0"/>
      </patternFill>
    </fill>
    <fill>
      <patternFill patternType="solid">
        <fgColor rgb="FFEEF5F0"/>
        <bgColor rgb="FFEDF5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5F0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5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A5E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16"/>
    <col collapsed="false" customWidth="true" hidden="false" outlineLevel="0" max="8" min="8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30" hidden="false" customHeight="true" outlineLevel="0" collapsed="false">
      <c r="A5" s="5" t="n">
        <f aca="false">Tracker!C3</f>
        <v>5000</v>
      </c>
      <c r="B5" s="5"/>
      <c r="C5" s="5" t="n">
        <f aca="false">SUM(Tracker!D7:D21)</f>
        <v>0</v>
      </c>
      <c r="D5" s="5"/>
      <c r="E5" s="5" t="n">
        <f aca="false">A5-C5</f>
        <v>5000</v>
      </c>
      <c r="F5" s="5"/>
      <c r="G5" s="6" t="n">
        <f aca="false">IF(A5=0,0,E5/A5)</f>
        <v>1</v>
      </c>
      <c r="H5" s="6"/>
    </row>
    <row r="7" customFormat="false" ht="13.5" hidden="false" customHeight="true" outlineLevel="0" collapsed="false"/>
    <row r="8" customFormat="false" ht="21.75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customFormat="false" ht="19.5" hidden="false" customHeight="true" outlineLevel="0" collapsed="false">
      <c r="A9" s="8" t="str">
        <f aca="false">Tracker!B7</f>
        <v>Housing / Rent</v>
      </c>
      <c r="B9" s="9" t="n">
        <f aca="false">Tracker!C7</f>
        <v>1400</v>
      </c>
      <c r="C9" s="9" t="n">
        <f aca="false">Tracker!D7</f>
        <v>0</v>
      </c>
      <c r="D9" s="10" t="n">
        <f aca="false">B9-C9</f>
        <v>1400</v>
      </c>
      <c r="E9" s="11" t="str">
        <f aca="false">IF(B9=0,"",IF(C9&gt;B9,"⚠ Over Budget",IF(C9/B9&gt;0.9,"⚡ Near Limit","✓ On Track")))</f>
        <v>✓ On Track</v>
      </c>
    </row>
    <row r="10" customFormat="false" ht="19.5" hidden="false" customHeight="true" outlineLevel="0" collapsed="false">
      <c r="A10" s="12" t="str">
        <f aca="false">Tracker!B8</f>
        <v>Utilities</v>
      </c>
      <c r="B10" s="13" t="n">
        <f aca="false">Tracker!C8</f>
        <v>200</v>
      </c>
      <c r="C10" s="13" t="n">
        <f aca="false">Tracker!D8</f>
        <v>0</v>
      </c>
      <c r="D10" s="14" t="n">
        <f aca="false">B10-C10</f>
        <v>200</v>
      </c>
      <c r="E10" s="15" t="str">
        <f aca="false">IF(B10=0,"",IF(C10&gt;B10,"⚠ Over Budget",IF(C10/B10&gt;0.9,"⚡ Near Limit","✓ On Track")))</f>
        <v>✓ On Track</v>
      </c>
    </row>
    <row r="11" customFormat="false" ht="19.5" hidden="false" customHeight="true" outlineLevel="0" collapsed="false">
      <c r="A11" s="8" t="str">
        <f aca="false">Tracker!B9</f>
        <v>Groceries</v>
      </c>
      <c r="B11" s="9" t="n">
        <f aca="false">Tracker!C9</f>
        <v>500</v>
      </c>
      <c r="C11" s="9" t="n">
        <f aca="false">Tracker!D9</f>
        <v>0</v>
      </c>
      <c r="D11" s="10" t="n">
        <f aca="false">B11-C11</f>
        <v>500</v>
      </c>
      <c r="E11" s="11" t="str">
        <f aca="false">IF(B11=0,"",IF(C11&gt;B11,"⚠ Over Budget",IF(C11/B11&gt;0.9,"⚡ Near Limit","✓ On Track")))</f>
        <v>✓ On Track</v>
      </c>
    </row>
    <row r="12" customFormat="false" ht="19.5" hidden="false" customHeight="true" outlineLevel="0" collapsed="false">
      <c r="A12" s="12" t="str">
        <f aca="false">Tracker!B10</f>
        <v>Transportation</v>
      </c>
      <c r="B12" s="13" t="n">
        <f aca="false">Tracker!C10</f>
        <v>300</v>
      </c>
      <c r="C12" s="13" t="n">
        <f aca="false">Tracker!D10</f>
        <v>0</v>
      </c>
      <c r="D12" s="14" t="n">
        <f aca="false">B12-C12</f>
        <v>300</v>
      </c>
      <c r="E12" s="15" t="str">
        <f aca="false">IF(B12=0,"",IF(C12&gt;B12,"⚠ Over Budget",IF(C12/B12&gt;0.9,"⚡ Near Limit","✓ On Track")))</f>
        <v>✓ On Track</v>
      </c>
    </row>
    <row r="13" customFormat="false" ht="19.5" hidden="false" customHeight="true" outlineLevel="0" collapsed="false">
      <c r="A13" s="8" t="str">
        <f aca="false">Tracker!B11</f>
        <v>Insurance</v>
      </c>
      <c r="B13" s="9" t="n">
        <f aca="false">Tracker!C11</f>
        <v>200</v>
      </c>
      <c r="C13" s="9" t="n">
        <f aca="false">Tracker!D11</f>
        <v>0</v>
      </c>
      <c r="D13" s="10" t="n">
        <f aca="false">B13-C13</f>
        <v>200</v>
      </c>
      <c r="E13" s="11" t="str">
        <f aca="false">IF(B13=0,"",IF(C13&gt;B13,"⚠ Over Budget",IF(C13/B13&gt;0.9,"⚡ Near Limit","✓ On Track")))</f>
        <v>✓ On Track</v>
      </c>
    </row>
    <row r="14" customFormat="false" ht="19.5" hidden="false" customHeight="true" outlineLevel="0" collapsed="false">
      <c r="A14" s="12" t="str">
        <f aca="false">Tracker!B12</f>
        <v>Healthcare</v>
      </c>
      <c r="B14" s="13" t="n">
        <f aca="false">Tracker!C12</f>
        <v>150</v>
      </c>
      <c r="C14" s="13" t="n">
        <f aca="false">Tracker!D12</f>
        <v>0</v>
      </c>
      <c r="D14" s="14" t="n">
        <f aca="false">B14-C14</f>
        <v>150</v>
      </c>
      <c r="E14" s="15" t="str">
        <f aca="false">IF(B14=0,"",IF(C14&gt;B14,"⚠ Over Budget",IF(C14/B14&gt;0.9,"⚡ Near Limit","✓ On Track")))</f>
        <v>✓ On Track</v>
      </c>
    </row>
    <row r="15" customFormat="false" ht="19.5" hidden="false" customHeight="true" outlineLevel="0" collapsed="false">
      <c r="A15" s="8" t="str">
        <f aca="false">Tracker!B13</f>
        <v>Subscriptions</v>
      </c>
      <c r="B15" s="9" t="n">
        <f aca="false">Tracker!C13</f>
        <v>80</v>
      </c>
      <c r="C15" s="9" t="n">
        <f aca="false">Tracker!D13</f>
        <v>0</v>
      </c>
      <c r="D15" s="10" t="n">
        <f aca="false">B15-C15</f>
        <v>80</v>
      </c>
      <c r="E15" s="11" t="str">
        <f aca="false">IF(B15=0,"",IF(C15&gt;B15,"⚠ Over Budget",IF(C15/B15&gt;0.9,"⚡ Near Limit","✓ On Track")))</f>
        <v>✓ On Track</v>
      </c>
    </row>
    <row r="16" customFormat="false" ht="19.5" hidden="false" customHeight="true" outlineLevel="0" collapsed="false">
      <c r="A16" s="12" t="str">
        <f aca="false">Tracker!B14</f>
        <v>Dining Out</v>
      </c>
      <c r="B16" s="13" t="n">
        <f aca="false">Tracker!C14</f>
        <v>200</v>
      </c>
      <c r="C16" s="13" t="n">
        <f aca="false">Tracker!D14</f>
        <v>0</v>
      </c>
      <c r="D16" s="14" t="n">
        <f aca="false">B16-C16</f>
        <v>200</v>
      </c>
      <c r="E16" s="15" t="str">
        <f aca="false">IF(B16=0,"",IF(C16&gt;B16,"⚠ Over Budget",IF(C16/B16&gt;0.9,"⚡ Near Limit","✓ On Track")))</f>
        <v>✓ On Track</v>
      </c>
    </row>
    <row r="17" customFormat="false" ht="19.5" hidden="false" customHeight="true" outlineLevel="0" collapsed="false">
      <c r="A17" s="8" t="str">
        <f aca="false">Tracker!B15</f>
        <v>Entertainment</v>
      </c>
      <c r="B17" s="9" t="n">
        <f aca="false">Tracker!C15</f>
        <v>100</v>
      </c>
      <c r="C17" s="9" t="n">
        <f aca="false">Tracker!D15</f>
        <v>0</v>
      </c>
      <c r="D17" s="10" t="n">
        <f aca="false">B17-C17</f>
        <v>100</v>
      </c>
      <c r="E17" s="11" t="str">
        <f aca="false">IF(B17=0,"",IF(C17&gt;B17,"⚠ Over Budget",IF(C17/B17&gt;0.9,"⚡ Near Limit","✓ On Track")))</f>
        <v>✓ On Track</v>
      </c>
    </row>
    <row r="18" customFormat="false" ht="19.5" hidden="false" customHeight="true" outlineLevel="0" collapsed="false">
      <c r="A18" s="12" t="str">
        <f aca="false">Tracker!B16</f>
        <v>Clothing</v>
      </c>
      <c r="B18" s="13" t="n">
        <f aca="false">Tracker!C16</f>
        <v>100</v>
      </c>
      <c r="C18" s="13" t="n">
        <f aca="false">Tracker!D16</f>
        <v>0</v>
      </c>
      <c r="D18" s="14" t="n">
        <f aca="false">B18-C18</f>
        <v>100</v>
      </c>
      <c r="E18" s="15" t="str">
        <f aca="false">IF(B18=0,"",IF(C18&gt;B18,"⚠ Over Budget",IF(C18/B18&gt;0.9,"⚡ Near Limit","✓ On Track")))</f>
        <v>✓ On Track</v>
      </c>
    </row>
    <row r="19" customFormat="false" ht="19.5" hidden="false" customHeight="true" outlineLevel="0" collapsed="false">
      <c r="A19" s="8" t="str">
        <f aca="false">Tracker!B17</f>
        <v>Personal Care</v>
      </c>
      <c r="B19" s="9" t="n">
        <f aca="false">Tracker!C17</f>
        <v>80</v>
      </c>
      <c r="C19" s="9" t="n">
        <f aca="false">Tracker!D17</f>
        <v>0</v>
      </c>
      <c r="D19" s="10" t="n">
        <f aca="false">B19-C19</f>
        <v>80</v>
      </c>
      <c r="E19" s="11" t="str">
        <f aca="false">IF(B19=0,"",IF(C19&gt;B19,"⚠ Over Budget",IF(C19/B19&gt;0.9,"⚡ Near Limit","✓ On Track")))</f>
        <v>✓ On Track</v>
      </c>
    </row>
    <row r="20" customFormat="false" ht="19.5" hidden="false" customHeight="true" outlineLevel="0" collapsed="false">
      <c r="A20" s="12" t="str">
        <f aca="false">Tracker!B18</f>
        <v>Savings / Investments</v>
      </c>
      <c r="B20" s="13" t="n">
        <f aca="false">Tracker!C18</f>
        <v>400</v>
      </c>
      <c r="C20" s="13" t="n">
        <f aca="false">Tracker!D18</f>
        <v>0</v>
      </c>
      <c r="D20" s="14" t="n">
        <f aca="false">B20-C20</f>
        <v>400</v>
      </c>
      <c r="E20" s="15" t="str">
        <f aca="false">IF(B20=0,"",IF(C20&gt;B20,"⚠ Over Budget",IF(C20/B20&gt;0.9,"⚡ Near Limit","✓ On Track")))</f>
        <v>✓ On Track</v>
      </c>
    </row>
    <row r="21" customFormat="false" ht="19.5" hidden="false" customHeight="true" outlineLevel="0" collapsed="false">
      <c r="A21" s="8" t="str">
        <f aca="false">Tracker!B19</f>
        <v>Debt Payments</v>
      </c>
      <c r="B21" s="9" t="n">
        <f aca="false">Tracker!C19</f>
        <v>300</v>
      </c>
      <c r="C21" s="9" t="n">
        <f aca="false">Tracker!D19</f>
        <v>0</v>
      </c>
      <c r="D21" s="10" t="n">
        <f aca="false">B21-C21</f>
        <v>300</v>
      </c>
      <c r="E21" s="11" t="str">
        <f aca="false">IF(B21=0,"",IF(C21&gt;B21,"⚠ Over Budget",IF(C21/B21&gt;0.9,"⚡ Near Limit","✓ On Track")))</f>
        <v>✓ On Track</v>
      </c>
    </row>
    <row r="22" customFormat="false" ht="19.5" hidden="false" customHeight="true" outlineLevel="0" collapsed="false">
      <c r="A22" s="12" t="str">
        <f aca="false">Tracker!B20</f>
        <v>Emergency Fund</v>
      </c>
      <c r="B22" s="13" t="n">
        <f aca="false">Tracker!C20</f>
        <v>100</v>
      </c>
      <c r="C22" s="13" t="n">
        <f aca="false">Tracker!D20</f>
        <v>0</v>
      </c>
      <c r="D22" s="14" t="n">
        <f aca="false">B22-C22</f>
        <v>100</v>
      </c>
      <c r="E22" s="15" t="str">
        <f aca="false">IF(B22=0,"",IF(C22&gt;B22,"⚠ Over Budget",IF(C22/B22&gt;0.9,"⚡ Near Limit","✓ On Track")))</f>
        <v>✓ On Track</v>
      </c>
    </row>
    <row r="23" customFormat="false" ht="19.5" hidden="false" customHeight="true" outlineLevel="0" collapsed="false">
      <c r="A23" s="8" t="str">
        <f aca="false">Tracker!B21</f>
        <v>Miscellaneous</v>
      </c>
      <c r="B23" s="9" t="n">
        <f aca="false">Tracker!C21</f>
        <v>90</v>
      </c>
      <c r="C23" s="9" t="n">
        <f aca="false">Tracker!D21</f>
        <v>0</v>
      </c>
      <c r="D23" s="10" t="n">
        <f aca="false">B23-C23</f>
        <v>90</v>
      </c>
      <c r="E23" s="11" t="str">
        <f aca="false">IF(B23=0,"",IF(C23&gt;B23,"⚠ Over Budget",IF(C23/B23&gt;0.9,"⚡ Near Limit","✓ On Track")))</f>
        <v>✓ On Track</v>
      </c>
    </row>
    <row r="24" customFormat="false" ht="21.75" hidden="false" customHeight="true" outlineLevel="0" collapsed="false">
      <c r="A24" s="16" t="s">
        <v>11</v>
      </c>
      <c r="B24" s="17" t="n">
        <f aca="false">SUM(B9:B23)</f>
        <v>4200</v>
      </c>
      <c r="C24" s="17" t="n">
        <f aca="false">SUM(C9:C23)</f>
        <v>0</v>
      </c>
      <c r="D24" s="17" t="n">
        <f aca="false">SUM(D9:D23)</f>
        <v>4200</v>
      </c>
      <c r="E24" s="18"/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28"/>
  </cols>
  <sheetData>
    <row r="1" customFormat="false" ht="25.5" hidden="false" customHeight="true" outlineLevel="0" collapsed="false">
      <c r="A1" s="19" t="s">
        <v>12</v>
      </c>
      <c r="B1" s="19"/>
      <c r="C1" s="19"/>
      <c r="D1" s="19"/>
      <c r="E1" s="19"/>
    </row>
    <row r="2" customFormat="false" ht="15.75" hidden="false" customHeight="true" outlineLevel="0" collapsed="false">
      <c r="A2" s="20" t="s">
        <v>13</v>
      </c>
      <c r="B2" s="20"/>
      <c r="C2" s="20"/>
      <c r="D2" s="20"/>
      <c r="E2" s="20"/>
    </row>
    <row r="3" customFormat="false" ht="25.5" hidden="false" customHeight="true" outlineLevel="0" collapsed="false">
      <c r="A3" s="21" t="s">
        <v>14</v>
      </c>
      <c r="B3" s="21"/>
      <c r="C3" s="22" t="n">
        <v>5000</v>
      </c>
    </row>
    <row r="5" customFormat="false" ht="13.5" hidden="false" customHeight="true" outlineLevel="0" collapsed="false"/>
    <row r="6" customFormat="false" ht="21.75" hidden="false" customHeight="true" outlineLevel="0" collapsed="false">
      <c r="A6" s="7" t="s">
        <v>15</v>
      </c>
      <c r="B6" s="7" t="s">
        <v>6</v>
      </c>
      <c r="C6" s="7" t="s">
        <v>16</v>
      </c>
      <c r="D6" s="7" t="s">
        <v>17</v>
      </c>
      <c r="E6" s="7" t="s">
        <v>18</v>
      </c>
    </row>
    <row r="7" customFormat="false" ht="19.5" hidden="false" customHeight="true" outlineLevel="0" collapsed="false">
      <c r="A7" s="23" t="n">
        <v>1</v>
      </c>
      <c r="B7" s="24" t="s">
        <v>19</v>
      </c>
      <c r="C7" s="25" t="n">
        <v>1400</v>
      </c>
      <c r="D7" s="25" t="n">
        <v>0</v>
      </c>
      <c r="E7" s="26"/>
    </row>
    <row r="8" customFormat="false" ht="19.5" hidden="false" customHeight="true" outlineLevel="0" collapsed="false">
      <c r="A8" s="27" t="n">
        <v>2</v>
      </c>
      <c r="B8" s="28" t="s">
        <v>20</v>
      </c>
      <c r="C8" s="25" t="n">
        <v>200</v>
      </c>
      <c r="D8" s="25" t="n">
        <v>0</v>
      </c>
      <c r="E8" s="26"/>
    </row>
    <row r="9" customFormat="false" ht="19.5" hidden="false" customHeight="true" outlineLevel="0" collapsed="false">
      <c r="A9" s="23" t="n">
        <v>3</v>
      </c>
      <c r="B9" s="24" t="s">
        <v>21</v>
      </c>
      <c r="C9" s="25" t="n">
        <v>500</v>
      </c>
      <c r="D9" s="25" t="n">
        <v>0</v>
      </c>
      <c r="E9" s="26"/>
    </row>
    <row r="10" customFormat="false" ht="19.5" hidden="false" customHeight="true" outlineLevel="0" collapsed="false">
      <c r="A10" s="27" t="n">
        <v>4</v>
      </c>
      <c r="B10" s="28" t="s">
        <v>22</v>
      </c>
      <c r="C10" s="25" t="n">
        <v>300</v>
      </c>
      <c r="D10" s="25" t="n">
        <v>0</v>
      </c>
      <c r="E10" s="26"/>
    </row>
    <row r="11" customFormat="false" ht="19.5" hidden="false" customHeight="true" outlineLevel="0" collapsed="false">
      <c r="A11" s="23" t="n">
        <v>5</v>
      </c>
      <c r="B11" s="24" t="s">
        <v>23</v>
      </c>
      <c r="C11" s="25" t="n">
        <v>200</v>
      </c>
      <c r="D11" s="25" t="n">
        <v>0</v>
      </c>
      <c r="E11" s="26"/>
    </row>
    <row r="12" customFormat="false" ht="19.5" hidden="false" customHeight="true" outlineLevel="0" collapsed="false">
      <c r="A12" s="27" t="n">
        <v>6</v>
      </c>
      <c r="B12" s="28" t="s">
        <v>24</v>
      </c>
      <c r="C12" s="25" t="n">
        <v>150</v>
      </c>
      <c r="D12" s="25" t="n">
        <v>0</v>
      </c>
      <c r="E12" s="26"/>
    </row>
    <row r="13" customFormat="false" ht="19.5" hidden="false" customHeight="true" outlineLevel="0" collapsed="false">
      <c r="A13" s="23" t="n">
        <v>7</v>
      </c>
      <c r="B13" s="24" t="s">
        <v>25</v>
      </c>
      <c r="C13" s="25" t="n">
        <v>80</v>
      </c>
      <c r="D13" s="25" t="n">
        <v>0</v>
      </c>
      <c r="E13" s="26"/>
    </row>
    <row r="14" customFormat="false" ht="19.5" hidden="false" customHeight="true" outlineLevel="0" collapsed="false">
      <c r="A14" s="27" t="n">
        <v>8</v>
      </c>
      <c r="B14" s="28" t="s">
        <v>26</v>
      </c>
      <c r="C14" s="25" t="n">
        <v>200</v>
      </c>
      <c r="D14" s="25" t="n">
        <v>0</v>
      </c>
      <c r="E14" s="26"/>
    </row>
    <row r="15" customFormat="false" ht="19.5" hidden="false" customHeight="true" outlineLevel="0" collapsed="false">
      <c r="A15" s="23" t="n">
        <v>9</v>
      </c>
      <c r="B15" s="24" t="s">
        <v>27</v>
      </c>
      <c r="C15" s="25" t="n">
        <v>100</v>
      </c>
      <c r="D15" s="25" t="n">
        <v>0</v>
      </c>
      <c r="E15" s="26"/>
    </row>
    <row r="16" customFormat="false" ht="19.5" hidden="false" customHeight="true" outlineLevel="0" collapsed="false">
      <c r="A16" s="27" t="n">
        <v>10</v>
      </c>
      <c r="B16" s="28" t="s">
        <v>28</v>
      </c>
      <c r="C16" s="25" t="n">
        <v>100</v>
      </c>
      <c r="D16" s="25" t="n">
        <v>0</v>
      </c>
      <c r="E16" s="26"/>
    </row>
    <row r="17" customFormat="false" ht="19.5" hidden="false" customHeight="true" outlineLevel="0" collapsed="false">
      <c r="A17" s="23" t="n">
        <v>11</v>
      </c>
      <c r="B17" s="24" t="s">
        <v>29</v>
      </c>
      <c r="C17" s="25" t="n">
        <v>80</v>
      </c>
      <c r="D17" s="25" t="n">
        <v>0</v>
      </c>
      <c r="E17" s="26"/>
    </row>
    <row r="18" customFormat="false" ht="19.5" hidden="false" customHeight="true" outlineLevel="0" collapsed="false">
      <c r="A18" s="27" t="n">
        <v>12</v>
      </c>
      <c r="B18" s="28" t="s">
        <v>30</v>
      </c>
      <c r="C18" s="25" t="n">
        <v>400</v>
      </c>
      <c r="D18" s="25" t="n">
        <v>0</v>
      </c>
      <c r="E18" s="26"/>
    </row>
    <row r="19" customFormat="false" ht="19.5" hidden="false" customHeight="true" outlineLevel="0" collapsed="false">
      <c r="A19" s="23" t="n">
        <v>13</v>
      </c>
      <c r="B19" s="24" t="s">
        <v>31</v>
      </c>
      <c r="C19" s="25" t="n">
        <v>300</v>
      </c>
      <c r="D19" s="25" t="n">
        <v>0</v>
      </c>
      <c r="E19" s="26"/>
    </row>
    <row r="20" customFormat="false" ht="19.5" hidden="false" customHeight="true" outlineLevel="0" collapsed="false">
      <c r="A20" s="27" t="n">
        <v>14</v>
      </c>
      <c r="B20" s="28" t="s">
        <v>32</v>
      </c>
      <c r="C20" s="25" t="n">
        <v>100</v>
      </c>
      <c r="D20" s="25" t="n">
        <v>0</v>
      </c>
      <c r="E20" s="26"/>
    </row>
    <row r="21" customFormat="false" ht="19.5" hidden="false" customHeight="true" outlineLevel="0" collapsed="false">
      <c r="A21" s="23" t="n">
        <v>15</v>
      </c>
      <c r="B21" s="24" t="s">
        <v>33</v>
      </c>
      <c r="C21" s="25" t="n">
        <v>90</v>
      </c>
      <c r="D21" s="25" t="n">
        <v>0</v>
      </c>
      <c r="E21" s="26"/>
    </row>
    <row r="22" customFormat="false" ht="21.75" hidden="false" customHeight="true" outlineLevel="0" collapsed="false">
      <c r="A22" s="29"/>
      <c r="B22" s="16" t="s">
        <v>11</v>
      </c>
      <c r="C22" s="17" t="n">
        <f aca="false">SUM(C7:C21)</f>
        <v>4200</v>
      </c>
      <c r="D22" s="17" t="n">
        <f aca="false">SUM(D7:D21)</f>
        <v>0</v>
      </c>
      <c r="E22" s="18"/>
    </row>
  </sheetData>
  <mergeCells count="3">
    <mergeCell ref="A1:E1"/>
    <mergeCell ref="A2:E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2026-06-09T19:48:27Z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