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dget" sheetId="2" state="visible" r:id="rId4"/>
    <sheet name="Itinerary" sheetId="3" state="visible" r:id="rId5"/>
    <sheet name="Packing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<sst xmlns="http://schemas.openxmlformats.org/spreadsheetml/2006/main" count="84" uniqueCount="67">
  <si>
    <t xml:space="preserve">🌴  HONEYMOON BUDGET &amp; PLANNER</t>
  </si>
  <si>
    <t xml:space="preserve">The first trip of the rest of your lives — planned, not stressed.</t>
  </si>
  <si>
    <t xml:space="preserve">TOTAL BUDGET</t>
  </si>
  <si>
    <t xml:space="preserve">SPENT SO FAR</t>
  </si>
  <si>
    <t xml:space="preserve">REMAINING</t>
  </si>
  <si>
    <t xml:space="preserve">% USED</t>
  </si>
  <si>
    <t xml:space="preserve">SPEND BY CATEGORY</t>
  </si>
  <si>
    <t xml:space="preserve">Category</t>
  </si>
  <si>
    <t xml:space="preserve">Budget</t>
  </si>
  <si>
    <t xml:space="preserve">Spent</t>
  </si>
  <si>
    <t xml:space="preserve">% Used</t>
  </si>
  <si>
    <t xml:space="preserve">Status</t>
  </si>
  <si>
    <t xml:space="preserve">💡 BUDGET LIKE A LOCAL</t>
  </si>
  <si>
    <t xml:space="preserve">Book flights and lodging first — they anchor everything else.</t>
  </si>
  <si>
    <t xml:space="preserve">Keep a daily "fun money" allowance so small splurges never feel like guilt.</t>
  </si>
  <si>
    <t xml:space="preserve">Leave 10% unallocated — the best discoveries are unplanned.</t>
  </si>
  <si>
    <t xml:space="preserve">Honeymoon Budget — Category Breakdown</t>
  </si>
  <si>
    <t xml:space="preserve">Blue cells = enter your values  |  Black cells = calculated automatically</t>
  </si>
  <si>
    <t xml:space="preserve">#</t>
  </si>
  <si>
    <t xml:space="preserve">Actual Spent</t>
  </si>
  <si>
    <t xml:space="preserve">Remaining</t>
  </si>
  <si>
    <t xml:space="preserve">Notes</t>
  </si>
  <si>
    <t xml:space="preserve">Flights / Airfare</t>
  </si>
  <si>
    <t xml:space="preserve">Accommodation</t>
  </si>
  <si>
    <t xml:space="preserve">Food &amp; Dining</t>
  </si>
  <si>
    <t xml:space="preserve">Activities &amp; Tours</t>
  </si>
  <si>
    <t xml:space="preserve">Local Transport</t>
  </si>
  <si>
    <t xml:space="preserve">Shopping &amp; Souvenirs</t>
  </si>
  <si>
    <t xml:space="preserve">Travel Insurance</t>
  </si>
  <si>
    <t xml:space="preserve">Documents &amp; Visas</t>
  </si>
  <si>
    <t xml:space="preserve">Spa &amp; Relaxation</t>
  </si>
  <si>
    <t xml:space="preserve">Miscellaneous</t>
  </si>
  <si>
    <t xml:space="preserve">TOTAL</t>
  </si>
  <si>
    <t xml:space="preserve">Day-by-Day Itinerary</t>
  </si>
  <si>
    <t xml:space="preserve">Plan each day loosely — the best honeymoon memories are rarely scheduled.</t>
  </si>
  <si>
    <t xml:space="preserve">Day</t>
  </si>
  <si>
    <t xml:space="preserve">Date</t>
  </si>
  <si>
    <t xml:space="preserve">Location</t>
  </si>
  <si>
    <t xml:space="preserve">Morning</t>
  </si>
  <si>
    <t xml:space="preserve">Afternoon</t>
  </si>
  <si>
    <t xml:space="preserve">Evening</t>
  </si>
  <si>
    <t xml:space="preserve">Est. Cost</t>
  </si>
  <si>
    <t xml:space="preserve">Packing Checklist</t>
  </si>
  <si>
    <t xml:space="preserve">Mark ✓ when packed. Add your own items in the blank rows.</t>
  </si>
  <si>
    <t xml:space="preserve">Item</t>
  </si>
  <si>
    <t xml:space="preserve">Packed?</t>
  </si>
  <si>
    <t xml:space="preserve">Documents</t>
  </si>
  <si>
    <t xml:space="preserve">Passports / IDs</t>
  </si>
  <si>
    <t xml:space="preserve">Flight &amp; hotel confirmations</t>
  </si>
  <si>
    <t xml:space="preserve">Travel insurance details</t>
  </si>
  <si>
    <t xml:space="preserve">Marriage certificate copy</t>
  </si>
  <si>
    <t xml:space="preserve">Essentials</t>
  </si>
  <si>
    <t xml:space="preserve">Phone chargers &amp; adapters</t>
  </si>
  <si>
    <t xml:space="preserve">Medications</t>
  </si>
  <si>
    <t xml:space="preserve">Sunscreen</t>
  </si>
  <si>
    <t xml:space="preserve">Local currency / cards</t>
  </si>
  <si>
    <t xml:space="preserve">Clothing</t>
  </si>
  <si>
    <t xml:space="preserve">Swimwear</t>
  </si>
  <si>
    <t xml:space="preserve">Evening outfits</t>
  </si>
  <si>
    <t xml:space="preserve">Comfortable walking shoes</t>
  </si>
  <si>
    <t xml:space="preserve">Weather-appropriate layers</t>
  </si>
  <si>
    <t xml:space="preserve">Extras</t>
  </si>
  <si>
    <t xml:space="preserve">Camera</t>
  </si>
  <si>
    <t xml:space="preserve">Day bag / backpack</t>
  </si>
  <si>
    <t xml:space="preserve">Books / downloads for travel</t>
  </si>
  <si>
    <t xml:space="preserve">Gifts / surprise for partner</t>
  </si>
  <si>
    <t xml:space="preserve">PACKED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</si>
</sst>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8B6AB0"/>
        <bgColor rgb="FF808080"/>
      </patternFill>
    </fill>
    <fill>
      <patternFill patternType="solid">
        <fgColor rgb="FFEEF2FF"/>
        <bgColor rgb="FFF3EEF9"/>
      </patternFill>
    </fill>
    <fill>
      <patternFill patternType="solid">
        <fgColor rgb="FFFFFFFF"/>
        <bgColor rgb="FFEEF2FF"/>
      </patternFill>
    </fill>
    <fill>
      <patternFill patternType="solid">
        <fgColor rgb="FFF3EEF9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EF9"/>
      <rgbColor rgb="FFEEF2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6A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15" hidden="false" customHeight="false" outlineLevel="0" collapsed="false">
      <c r="A5" s="4" t="n">
        <f aca="false">Budget!C14</f>
        <v>8650</v>
      </c>
      <c r="C5" s="4" t="n">
        <f aca="false">Budget!D14</f>
        <v>0</v>
      </c>
      <c r="E5" s="4" t="n">
        <f aca="false">A5-C5</f>
        <v>8650</v>
      </c>
      <c r="G5" s="5" t="n">
        <f aca="false">IF(A5=0,0,C5/A5)</f>
        <v>0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customFormat="false" ht="15" hidden="false" customHeight="false" outlineLevel="0" collapsed="false">
      <c r="A10" s="7" t="str">
        <f aca="false">Budget!B4</f>
        <v>Flights / Airfare</v>
      </c>
      <c r="B10" s="8" t="n">
        <f aca="false">Budget!C4</f>
        <v>2000</v>
      </c>
      <c r="C10" s="8" t="n">
        <f aca="false">Budget!D4</f>
        <v>0</v>
      </c>
      <c r="D10" s="9" t="n">
        <f aca="false">IF(B10=0,"-",C10/B10)</f>
        <v>0</v>
      </c>
      <c r="E10" s="10" t="str">
        <f aca="false">IF(D10="-","",IF(D10&gt;1,"⚠ Over Budget",IF(D10&gt;0.9,"⚡ Near Limit","✓ On Track")))</f>
        <v>✓ On Track</v>
      </c>
    </row>
    <row r="11" customFormat="false" ht="15" hidden="false" customHeight="false" outlineLevel="0" collapsed="false">
      <c r="A11" s="11" t="str">
        <f aca="false">Budget!B5</f>
        <v>Accommodation</v>
      </c>
      <c r="B11" s="12" t="n">
        <f aca="false">Budget!C5</f>
        <v>2500</v>
      </c>
      <c r="C11" s="12" t="n">
        <f aca="false">Budget!D5</f>
        <v>0</v>
      </c>
      <c r="D11" s="13" t="n">
        <f aca="false">IF(B11=0,"-",C11/B11)</f>
        <v>0</v>
      </c>
      <c r="E11" s="14" t="str">
        <f aca="false">IF(D11="-","",IF(D11&gt;1,"⚠ Over Budget",IF(D11&gt;0.9,"⚡ Near Limit","✓ On Track")))</f>
        <v>✓ On Track</v>
      </c>
    </row>
    <row r="12" customFormat="false" ht="15" hidden="false" customHeight="false" outlineLevel="0" collapsed="false">
      <c r="A12" s="7" t="str">
        <f aca="false">Budget!B6</f>
        <v>Food &amp; Dining</v>
      </c>
      <c r="B12" s="8" t="n">
        <f aca="false">Budget!C6</f>
        <v>1200</v>
      </c>
      <c r="C12" s="8" t="n">
        <f aca="false">Budget!D6</f>
        <v>0</v>
      </c>
      <c r="D12" s="9" t="n">
        <f aca="false">IF(B12=0,"-",C12/B12)</f>
        <v>0</v>
      </c>
      <c r="E12" s="10" t="str">
        <f aca="false">IF(D12="-","",IF(D12&gt;1,"⚠ Over Budget",IF(D12&gt;0.9,"⚡ Near Limit","✓ On Track")))</f>
        <v>✓ On Track</v>
      </c>
    </row>
    <row r="13" customFormat="false" ht="15" hidden="false" customHeight="false" outlineLevel="0" collapsed="false">
      <c r="A13" s="11" t="str">
        <f aca="false">Budget!B7</f>
        <v>Activities &amp; Tours</v>
      </c>
      <c r="B13" s="12" t="n">
        <f aca="false">Budget!C7</f>
        <v>1000</v>
      </c>
      <c r="C13" s="12" t="n">
        <f aca="false">Budget!D7</f>
        <v>0</v>
      </c>
      <c r="D13" s="13" t="n">
        <f aca="false">IF(B13=0,"-",C13/B13)</f>
        <v>0</v>
      </c>
      <c r="E13" s="14" t="str">
        <f aca="false">IF(D13="-","",IF(D13&gt;1,"⚠ Over Budget",IF(D13&gt;0.9,"⚡ Near Limit","✓ On Track")))</f>
        <v>✓ On Track</v>
      </c>
    </row>
    <row r="14" customFormat="false" ht="15" hidden="false" customHeight="false" outlineLevel="0" collapsed="false">
      <c r="A14" s="7" t="str">
        <f aca="false">Budget!B8</f>
        <v>Local Transport</v>
      </c>
      <c r="B14" s="8" t="n">
        <f aca="false">Budget!C8</f>
        <v>400</v>
      </c>
      <c r="C14" s="8" t="n">
        <f aca="false">Budget!D8</f>
        <v>0</v>
      </c>
      <c r="D14" s="9" t="n">
        <f aca="false">IF(B14=0,"-",C14/B14)</f>
        <v>0</v>
      </c>
      <c r="E14" s="10" t="str">
        <f aca="false">IF(D14="-","",IF(D14&gt;1,"⚠ Over Budget",IF(D14&gt;0.9,"⚡ Near Limit","✓ On Track")))</f>
        <v>✓ On Track</v>
      </c>
    </row>
    <row r="15" customFormat="false" ht="15" hidden="false" customHeight="false" outlineLevel="0" collapsed="false">
      <c r="A15" s="11" t="str">
        <f aca="false">Budget!B9</f>
        <v>Shopping &amp; Souvenirs</v>
      </c>
      <c r="B15" s="12" t="n">
        <f aca="false">Budget!C9</f>
        <v>500</v>
      </c>
      <c r="C15" s="12" t="n">
        <f aca="false">Budget!D9</f>
        <v>0</v>
      </c>
      <c r="D15" s="13" t="n">
        <f aca="false">IF(B15=0,"-",C15/B15)</f>
        <v>0</v>
      </c>
      <c r="E15" s="14" t="str">
        <f aca="false">IF(D15="-","",IF(D15&gt;1,"⚠ Over Budget",IF(D15&gt;0.9,"⚡ Near Limit","✓ On Track")))</f>
        <v>✓ On Track</v>
      </c>
    </row>
    <row r="16" customFormat="false" ht="15" hidden="false" customHeight="false" outlineLevel="0" collapsed="false">
      <c r="A16" s="7" t="str">
        <f aca="false">Budget!B10</f>
        <v>Travel Insurance</v>
      </c>
      <c r="B16" s="8" t="n">
        <f aca="false">Budget!C10</f>
        <v>200</v>
      </c>
      <c r="C16" s="8" t="n">
        <f aca="false">Budget!D10</f>
        <v>0</v>
      </c>
      <c r="D16" s="9" t="n">
        <f aca="false">IF(B16=0,"-",C16/B16)</f>
        <v>0</v>
      </c>
      <c r="E16" s="10" t="str">
        <f aca="false">IF(D16="-","",IF(D16&gt;1,"⚠ Over Budget",IF(D16&gt;0.9,"⚡ Near Limit","✓ On Track")))</f>
        <v>✓ On Track</v>
      </c>
    </row>
    <row r="17" customFormat="false" ht="15" hidden="false" customHeight="false" outlineLevel="0" collapsed="false">
      <c r="A17" s="11" t="str">
        <f aca="false">Budget!B11</f>
        <v>Documents &amp; Visas</v>
      </c>
      <c r="B17" s="12" t="n">
        <f aca="false">Budget!C11</f>
        <v>150</v>
      </c>
      <c r="C17" s="12" t="n">
        <f aca="false">Budget!D11</f>
        <v>0</v>
      </c>
      <c r="D17" s="13" t="n">
        <f aca="false">IF(B17=0,"-",C17/B17)</f>
        <v>0</v>
      </c>
      <c r="E17" s="14" t="str">
        <f aca="false">IF(D17="-","",IF(D17&gt;1,"⚠ Over Budget",IF(D17&gt;0.9,"⚡ Near Limit","✓ On Track")))</f>
        <v>✓ On Track</v>
      </c>
    </row>
    <row r="18" customFormat="false" ht="15" hidden="false" customHeight="false" outlineLevel="0" collapsed="false">
      <c r="A18" s="7" t="str">
        <f aca="false">Budget!B12</f>
        <v>Spa &amp; Relaxation</v>
      </c>
      <c r="B18" s="8" t="n">
        <f aca="false">Budget!C12</f>
        <v>400</v>
      </c>
      <c r="C18" s="8" t="n">
        <f aca="false">Budget!D12</f>
        <v>0</v>
      </c>
      <c r="D18" s="9" t="n">
        <f aca="false">IF(B18=0,"-",C18/B18)</f>
        <v>0</v>
      </c>
      <c r="E18" s="10" t="str">
        <f aca="false">IF(D18="-","",IF(D18&gt;1,"⚠ Over Budget",IF(D18&gt;0.9,"⚡ Near Limit","✓ On Track")))</f>
        <v>✓ On Track</v>
      </c>
    </row>
    <row r="19" customFormat="false" ht="15" hidden="false" customHeight="false" outlineLevel="0" collapsed="false">
      <c r="A19" s="11" t="str">
        <f aca="false">Budget!B13</f>
        <v>Miscellaneous</v>
      </c>
      <c r="B19" s="12" t="n">
        <f aca="false">Budget!C13</f>
        <v>300</v>
      </c>
      <c r="C19" s="12" t="n">
        <f aca="false">Budget!D13</f>
        <v>0</v>
      </c>
      <c r="D19" s="13" t="n">
        <f aca="false">IF(B19=0,"-",C19/B19)</f>
        <v>0</v>
      </c>
      <c r="E19" s="14" t="str">
        <f aca="false">IF(D19="-","",IF(D19&gt;1,"⚠ Over Budget",IF(D19&gt;0.9,"⚡ Near Limit","✓ On Track")))</f>
        <v>✓ On Track</v>
      </c>
    </row>
    <row r="21" customFormat="false" ht="15" hidden="false" customHeight="false" outlineLevel="0" collapsed="false">
      <c r="A21" s="1" t="s">
        <v>12</v>
      </c>
    </row>
    <row r="22" customFormat="false" ht="15" hidden="false" customHeight="false" outlineLevel="0" collapsed="false">
      <c r="A22" s="2" t="s">
        <v>13</v>
      </c>
    </row>
    <row r="23" customFormat="false" ht="15" hidden="false" customHeight="false" outlineLevel="0" collapsed="false">
      <c r="A23" s="2" t="s">
        <v>14</v>
      </c>
    </row>
    <row r="24" customFormat="false" ht="15" hidden="false" customHeight="false" outlineLevel="0" collapsed="false">
      <c r="A24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A3" s="6" t="s">
        <v>18</v>
      </c>
      <c r="B3" s="6" t="s">
        <v>7</v>
      </c>
      <c r="C3" s="6" t="s">
        <v>8</v>
      </c>
      <c r="D3" s="6" t="s">
        <v>19</v>
      </c>
      <c r="E3" s="6" t="s">
        <v>20</v>
      </c>
      <c r="F3" s="6" t="s">
        <v>10</v>
      </c>
      <c r="G3" s="6" t="s">
        <v>21</v>
      </c>
    </row>
    <row r="4" customFormat="false" ht="15" hidden="false" customHeight="false" outlineLevel="0" collapsed="false">
      <c r="A4" s="7" t="n">
        <v>1</v>
      </c>
      <c r="B4" s="10" t="s">
        <v>22</v>
      </c>
      <c r="C4" s="15" t="n">
        <v>2000</v>
      </c>
      <c r="D4" s="15" t="n">
        <v>0</v>
      </c>
      <c r="E4" s="16" t="n">
        <f aca="false">C4-D4</f>
        <v>2000</v>
      </c>
      <c r="F4" s="9" t="n">
        <f aca="false">IF(C4=0,"-",D4/C4)</f>
        <v>0</v>
      </c>
      <c r="G4" s="10"/>
    </row>
    <row r="5" customFormat="false" ht="15" hidden="false" customHeight="false" outlineLevel="0" collapsed="false">
      <c r="A5" s="11" t="n">
        <v>2</v>
      </c>
      <c r="B5" s="14" t="s">
        <v>23</v>
      </c>
      <c r="C5" s="15" t="n">
        <v>2500</v>
      </c>
      <c r="D5" s="15" t="n">
        <v>0</v>
      </c>
      <c r="E5" s="17" t="n">
        <f aca="false">C5-D5</f>
        <v>2500</v>
      </c>
      <c r="F5" s="13" t="n">
        <f aca="false">IF(C5=0,"-",D5/C5)</f>
        <v>0</v>
      </c>
      <c r="G5" s="14"/>
    </row>
    <row r="6" customFormat="false" ht="15" hidden="false" customHeight="false" outlineLevel="0" collapsed="false">
      <c r="A6" s="7" t="n">
        <v>3</v>
      </c>
      <c r="B6" s="10" t="s">
        <v>24</v>
      </c>
      <c r="C6" s="15" t="n">
        <v>1200</v>
      </c>
      <c r="D6" s="15" t="n">
        <v>0</v>
      </c>
      <c r="E6" s="16" t="n">
        <f aca="false">C6-D6</f>
        <v>1200</v>
      </c>
      <c r="F6" s="9" t="n">
        <f aca="false">IF(C6=0,"-",D6/C6)</f>
        <v>0</v>
      </c>
      <c r="G6" s="10"/>
    </row>
    <row r="7" customFormat="false" ht="15" hidden="false" customHeight="false" outlineLevel="0" collapsed="false">
      <c r="A7" s="11" t="n">
        <v>4</v>
      </c>
      <c r="B7" s="14" t="s">
        <v>25</v>
      </c>
      <c r="C7" s="15" t="n">
        <v>1000</v>
      </c>
      <c r="D7" s="15" t="n">
        <v>0</v>
      </c>
      <c r="E7" s="17" t="n">
        <f aca="false">C7-D7</f>
        <v>1000</v>
      </c>
      <c r="F7" s="13" t="n">
        <f aca="false">IF(C7=0,"-",D7/C7)</f>
        <v>0</v>
      </c>
      <c r="G7" s="14"/>
    </row>
    <row r="8" customFormat="false" ht="15" hidden="false" customHeight="false" outlineLevel="0" collapsed="false">
      <c r="A8" s="7" t="n">
        <v>5</v>
      </c>
      <c r="B8" s="10" t="s">
        <v>26</v>
      </c>
      <c r="C8" s="15" t="n">
        <v>400</v>
      </c>
      <c r="D8" s="15" t="n">
        <v>0</v>
      </c>
      <c r="E8" s="16" t="n">
        <f aca="false">C8-D8</f>
        <v>400</v>
      </c>
      <c r="F8" s="9" t="n">
        <f aca="false">IF(C8=0,"-",D8/C8)</f>
        <v>0</v>
      </c>
      <c r="G8" s="10"/>
    </row>
    <row r="9" customFormat="false" ht="15" hidden="false" customHeight="false" outlineLevel="0" collapsed="false">
      <c r="A9" s="11" t="n">
        <v>6</v>
      </c>
      <c r="B9" s="14" t="s">
        <v>27</v>
      </c>
      <c r="C9" s="15" t="n">
        <v>500</v>
      </c>
      <c r="D9" s="15" t="n">
        <v>0</v>
      </c>
      <c r="E9" s="17" t="n">
        <f aca="false">C9-D9</f>
        <v>500</v>
      </c>
      <c r="F9" s="13" t="n">
        <f aca="false">IF(C9=0,"-",D9/C9)</f>
        <v>0</v>
      </c>
      <c r="G9" s="14"/>
    </row>
    <row r="10" customFormat="false" ht="15" hidden="false" customHeight="false" outlineLevel="0" collapsed="false">
      <c r="A10" s="7" t="n">
        <v>7</v>
      </c>
      <c r="B10" s="10" t="s">
        <v>28</v>
      </c>
      <c r="C10" s="15" t="n">
        <v>200</v>
      </c>
      <c r="D10" s="15" t="n">
        <v>0</v>
      </c>
      <c r="E10" s="16" t="n">
        <f aca="false">C10-D10</f>
        <v>200</v>
      </c>
      <c r="F10" s="9" t="n">
        <f aca="false">IF(C10=0,"-",D10/C10)</f>
        <v>0</v>
      </c>
      <c r="G10" s="10"/>
    </row>
    <row r="11" customFormat="false" ht="15" hidden="false" customHeight="false" outlineLevel="0" collapsed="false">
      <c r="A11" s="11" t="n">
        <v>8</v>
      </c>
      <c r="B11" s="14" t="s">
        <v>29</v>
      </c>
      <c r="C11" s="15" t="n">
        <v>150</v>
      </c>
      <c r="D11" s="15" t="n">
        <v>0</v>
      </c>
      <c r="E11" s="17" t="n">
        <f aca="false">C11-D11</f>
        <v>150</v>
      </c>
      <c r="F11" s="13" t="n">
        <f aca="false">IF(C11=0,"-",D11/C11)</f>
        <v>0</v>
      </c>
      <c r="G11" s="14"/>
    </row>
    <row r="12" customFormat="false" ht="15" hidden="false" customHeight="false" outlineLevel="0" collapsed="false">
      <c r="A12" s="7" t="n">
        <v>9</v>
      </c>
      <c r="B12" s="10" t="s">
        <v>30</v>
      </c>
      <c r="C12" s="15" t="n">
        <v>400</v>
      </c>
      <c r="D12" s="15" t="n">
        <v>0</v>
      </c>
      <c r="E12" s="16" t="n">
        <f aca="false">C12-D12</f>
        <v>400</v>
      </c>
      <c r="F12" s="9" t="n">
        <f aca="false">IF(C12=0,"-",D12/C12)</f>
        <v>0</v>
      </c>
      <c r="G12" s="10"/>
    </row>
    <row r="13" customFormat="false" ht="15" hidden="false" customHeight="false" outlineLevel="0" collapsed="false">
      <c r="A13" s="11" t="n">
        <v>10</v>
      </c>
      <c r="B13" s="14" t="s">
        <v>31</v>
      </c>
      <c r="C13" s="15" t="n">
        <v>300</v>
      </c>
      <c r="D13" s="15" t="n">
        <v>0</v>
      </c>
      <c r="E13" s="17" t="n">
        <f aca="false">C13-D13</f>
        <v>300</v>
      </c>
      <c r="F13" s="13" t="n">
        <f aca="false">IF(C13=0,"-",D13/C13)</f>
        <v>0</v>
      </c>
      <c r="G13" s="14"/>
    </row>
    <row r="14" customFormat="false" ht="15" hidden="false" customHeight="false" outlineLevel="0" collapsed="false">
      <c r="A14" s="18"/>
      <c r="B14" s="3" t="s">
        <v>32</v>
      </c>
      <c r="C14" s="19" t="n">
        <f aca="false">SUM(C4:C13)</f>
        <v>8650</v>
      </c>
      <c r="D14" s="19" t="n">
        <f aca="false">SUM(D4:D13)</f>
        <v>0</v>
      </c>
      <c r="E14" s="19" t="n">
        <f aca="false">SUM(E4:E13)</f>
        <v>8650</v>
      </c>
      <c r="F14" s="20" t="n">
        <f aca="false">IF(C14=0,0,D14/C14)</f>
        <v>0</v>
      </c>
      <c r="G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4" style="0" width="2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customFormat="false" ht="15" hidden="false" customHeight="false" outlineLevel="0" collapsed="false">
      <c r="A5" s="7" t="n">
        <v>1</v>
      </c>
      <c r="B5" s="21"/>
      <c r="C5" s="21"/>
      <c r="D5" s="21"/>
      <c r="E5" s="21"/>
      <c r="F5" s="21"/>
      <c r="G5" s="15"/>
    </row>
    <row r="6" customFormat="false" ht="15" hidden="false" customHeight="false" outlineLevel="0" collapsed="false">
      <c r="A6" s="11" t="n">
        <v>2</v>
      </c>
      <c r="B6" s="21"/>
      <c r="C6" s="21"/>
      <c r="D6" s="21"/>
      <c r="E6" s="21"/>
      <c r="F6" s="21"/>
      <c r="G6" s="15"/>
    </row>
    <row r="7" customFormat="false" ht="15" hidden="false" customHeight="false" outlineLevel="0" collapsed="false">
      <c r="A7" s="7" t="n">
        <v>3</v>
      </c>
      <c r="B7" s="21"/>
      <c r="C7" s="21"/>
      <c r="D7" s="21"/>
      <c r="E7" s="21"/>
      <c r="F7" s="21"/>
      <c r="G7" s="15"/>
    </row>
    <row r="8" customFormat="false" ht="15" hidden="false" customHeight="false" outlineLevel="0" collapsed="false">
      <c r="A8" s="11" t="n">
        <v>4</v>
      </c>
      <c r="B8" s="21"/>
      <c r="C8" s="21"/>
      <c r="D8" s="21"/>
      <c r="E8" s="21"/>
      <c r="F8" s="21"/>
      <c r="G8" s="15"/>
    </row>
    <row r="9" customFormat="false" ht="15" hidden="false" customHeight="false" outlineLevel="0" collapsed="false">
      <c r="A9" s="7" t="n">
        <v>5</v>
      </c>
      <c r="B9" s="21"/>
      <c r="C9" s="21"/>
      <c r="D9" s="21"/>
      <c r="E9" s="21"/>
      <c r="F9" s="21"/>
      <c r="G9" s="15"/>
    </row>
    <row r="10" customFormat="false" ht="15" hidden="false" customHeight="false" outlineLevel="0" collapsed="false">
      <c r="A10" s="11" t="n">
        <v>6</v>
      </c>
      <c r="B10" s="21"/>
      <c r="C10" s="21"/>
      <c r="D10" s="21"/>
      <c r="E10" s="21"/>
      <c r="F10" s="21"/>
      <c r="G10" s="15"/>
    </row>
    <row r="11" customFormat="false" ht="15" hidden="false" customHeight="false" outlineLevel="0" collapsed="false">
      <c r="A11" s="7" t="n">
        <v>7</v>
      </c>
      <c r="B11" s="21"/>
      <c r="C11" s="21"/>
      <c r="D11" s="21"/>
      <c r="E11" s="21"/>
      <c r="F11" s="21"/>
      <c r="G11" s="15"/>
    </row>
    <row r="12" customFormat="false" ht="15" hidden="false" customHeight="false" outlineLevel="0" collapsed="false">
      <c r="A12" s="11" t="n">
        <v>8</v>
      </c>
      <c r="B12" s="21"/>
      <c r="C12" s="21"/>
      <c r="D12" s="21"/>
      <c r="E12" s="21"/>
      <c r="F12" s="21"/>
      <c r="G12" s="15"/>
    </row>
    <row r="13" customFormat="false" ht="15" hidden="false" customHeight="false" outlineLevel="0" collapsed="false">
      <c r="A13" s="7" t="n">
        <v>9</v>
      </c>
      <c r="B13" s="21"/>
      <c r="C13" s="21"/>
      <c r="D13" s="21"/>
      <c r="E13" s="21"/>
      <c r="F13" s="21"/>
      <c r="G13" s="15"/>
    </row>
    <row r="14" customFormat="false" ht="15" hidden="false" customHeight="false" outlineLevel="0" collapsed="false">
      <c r="A14" s="11" t="n">
        <v>10</v>
      </c>
      <c r="B14" s="21"/>
      <c r="C14" s="21"/>
      <c r="D14" s="21"/>
      <c r="E14" s="21"/>
      <c r="F14" s="21"/>
      <c r="G14" s="15"/>
    </row>
    <row r="15" customFormat="false" ht="15" hidden="false" customHeight="false" outlineLevel="0" collapsed="false">
      <c r="A15" s="7" t="n">
        <v>11</v>
      </c>
      <c r="B15" s="21"/>
      <c r="C15" s="21"/>
      <c r="D15" s="21"/>
      <c r="E15" s="21"/>
      <c r="F15" s="21"/>
      <c r="G15" s="15"/>
    </row>
    <row r="16" customFormat="false" ht="15" hidden="false" customHeight="false" outlineLevel="0" collapsed="false">
      <c r="A16" s="11" t="n">
        <v>12</v>
      </c>
      <c r="B16" s="21"/>
      <c r="C16" s="21"/>
      <c r="D16" s="21"/>
      <c r="E16" s="21"/>
      <c r="F16" s="21"/>
      <c r="G16" s="15"/>
    </row>
    <row r="17" customFormat="false" ht="15" hidden="false" customHeight="false" outlineLevel="0" collapsed="false">
      <c r="A17" s="7" t="n">
        <v>13</v>
      </c>
      <c r="B17" s="21"/>
      <c r="C17" s="21"/>
      <c r="D17" s="21"/>
      <c r="E17" s="21"/>
      <c r="F17" s="21"/>
      <c r="G17" s="15"/>
    </row>
    <row r="18" customFormat="false" ht="15" hidden="false" customHeight="false" outlineLevel="0" collapsed="false">
      <c r="A18" s="11" t="n">
        <v>14</v>
      </c>
      <c r="B18" s="21"/>
      <c r="C18" s="21"/>
      <c r="D18" s="21"/>
      <c r="E18" s="21"/>
      <c r="F18" s="21"/>
      <c r="G18" s="15"/>
    </row>
    <row r="19" customFormat="false" ht="15" hidden="false" customHeight="false" outlineLevel="0" collapsed="false">
      <c r="F19" s="3" t="s">
        <v>32</v>
      </c>
      <c r="G19" s="19" t="n">
        <f aca="false">SUM(G5:G18)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9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6" t="s">
        <v>7</v>
      </c>
      <c r="B4" s="6" t="s">
        <v>44</v>
      </c>
      <c r="C4" s="6" t="s">
        <v>45</v>
      </c>
    </row>
    <row r="5" customFormat="false" ht="15" hidden="false" customHeight="false" outlineLevel="0" collapsed="false">
      <c r="A5" s="22" t="s">
        <v>46</v>
      </c>
      <c r="B5" s="21" t="s">
        <v>47</v>
      </c>
      <c r="C5" s="23"/>
    </row>
    <row r="6" customFormat="false" ht="15" hidden="false" customHeight="false" outlineLevel="0" collapsed="false">
      <c r="A6" s="24" t="s">
        <v>46</v>
      </c>
      <c r="B6" s="21" t="s">
        <v>48</v>
      </c>
      <c r="C6" s="23"/>
    </row>
    <row r="7" customFormat="false" ht="15" hidden="false" customHeight="false" outlineLevel="0" collapsed="false">
      <c r="A7" s="22" t="s">
        <v>46</v>
      </c>
      <c r="B7" s="21" t="s">
        <v>49</v>
      </c>
      <c r="C7" s="23"/>
    </row>
    <row r="8" customFormat="false" ht="15" hidden="false" customHeight="false" outlineLevel="0" collapsed="false">
      <c r="A8" s="24" t="s">
        <v>46</v>
      </c>
      <c r="B8" s="21" t="s">
        <v>50</v>
      </c>
      <c r="C8" s="23"/>
    </row>
    <row r="9" customFormat="false" ht="15" hidden="false" customHeight="false" outlineLevel="0" collapsed="false">
      <c r="A9" s="22" t="s">
        <v>51</v>
      </c>
      <c r="B9" s="21" t="s">
        <v>52</v>
      </c>
      <c r="C9" s="23"/>
    </row>
    <row r="10" customFormat="false" ht="15" hidden="false" customHeight="false" outlineLevel="0" collapsed="false">
      <c r="A10" s="24" t="s">
        <v>51</v>
      </c>
      <c r="B10" s="21" t="s">
        <v>53</v>
      </c>
      <c r="C10" s="23"/>
    </row>
    <row r="11" customFormat="false" ht="15" hidden="false" customHeight="false" outlineLevel="0" collapsed="false">
      <c r="A11" s="22" t="s">
        <v>51</v>
      </c>
      <c r="B11" s="21" t="s">
        <v>54</v>
      </c>
      <c r="C11" s="23"/>
    </row>
    <row r="12" customFormat="false" ht="15" hidden="false" customHeight="false" outlineLevel="0" collapsed="false">
      <c r="A12" s="24" t="s">
        <v>51</v>
      </c>
      <c r="B12" s="21" t="s">
        <v>55</v>
      </c>
      <c r="C12" s="23"/>
    </row>
    <row r="13" customFormat="false" ht="15" hidden="false" customHeight="false" outlineLevel="0" collapsed="false">
      <c r="A13" s="22" t="s">
        <v>56</v>
      </c>
      <c r="B13" s="21" t="s">
        <v>57</v>
      </c>
      <c r="C13" s="23"/>
    </row>
    <row r="14" customFormat="false" ht="15" hidden="false" customHeight="false" outlineLevel="0" collapsed="false">
      <c r="A14" s="24" t="s">
        <v>56</v>
      </c>
      <c r="B14" s="21" t="s">
        <v>58</v>
      </c>
      <c r="C14" s="23"/>
    </row>
    <row r="15" customFormat="false" ht="15" hidden="false" customHeight="false" outlineLevel="0" collapsed="false">
      <c r="A15" s="22" t="s">
        <v>56</v>
      </c>
      <c r="B15" s="21" t="s">
        <v>59</v>
      </c>
      <c r="C15" s="23"/>
    </row>
    <row r="16" customFormat="false" ht="15" hidden="false" customHeight="false" outlineLevel="0" collapsed="false">
      <c r="A16" s="24" t="s">
        <v>56</v>
      </c>
      <c r="B16" s="21" t="s">
        <v>60</v>
      </c>
      <c r="C16" s="23"/>
    </row>
    <row r="17" customFormat="false" ht="15" hidden="false" customHeight="false" outlineLevel="0" collapsed="false">
      <c r="A17" s="22" t="s">
        <v>61</v>
      </c>
      <c r="B17" s="21" t="s">
        <v>62</v>
      </c>
      <c r="C17" s="23"/>
    </row>
    <row r="18" customFormat="false" ht="15" hidden="false" customHeight="false" outlineLevel="0" collapsed="false">
      <c r="A18" s="24" t="s">
        <v>61</v>
      </c>
      <c r="B18" s="21" t="s">
        <v>63</v>
      </c>
      <c r="C18" s="23"/>
    </row>
    <row r="19" customFormat="false" ht="15" hidden="false" customHeight="false" outlineLevel="0" collapsed="false">
      <c r="A19" s="22" t="s">
        <v>61</v>
      </c>
      <c r="B19" s="21" t="s">
        <v>64</v>
      </c>
      <c r="C19" s="23"/>
    </row>
    <row r="20" customFormat="false" ht="15" hidden="false" customHeight="false" outlineLevel="0" collapsed="false">
      <c r="A20" s="24" t="s">
        <v>61</v>
      </c>
      <c r="B20" s="21" t="s">
        <v>65</v>
      </c>
      <c r="C20" s="23"/>
    </row>
    <row r="21" customFormat="false" ht="15" hidden="false" customHeight="false" outlineLevel="0" collapsed="false">
      <c r="A21" s="22"/>
      <c r="B21" s="21"/>
      <c r="C21" s="23"/>
    </row>
    <row r="22" customFormat="false" ht="15" hidden="false" customHeight="false" outlineLevel="0" collapsed="false">
      <c r="A22" s="24"/>
      <c r="B22" s="21"/>
      <c r="C22" s="23"/>
    </row>
    <row r="23" customFormat="false" ht="15" hidden="false" customHeight="false" outlineLevel="0" collapsed="false">
      <c r="A23" s="22"/>
      <c r="B23" s="21"/>
      <c r="C23" s="23"/>
    </row>
    <row r="24" customFormat="false" ht="15" hidden="false" customHeight="false" outlineLevel="0" collapsed="false">
      <c r="A24" s="24"/>
      <c r="B24" s="21"/>
      <c r="C24" s="23"/>
    </row>
    <row r="26" customFormat="false" ht="15" hidden="false" customHeight="false" outlineLevel="0" collapsed="false">
      <c r="A26" s="3" t="s">
        <v>66</v>
      </c>
      <c r="B26" s="3" t="str">
        <f aca="false">COUNTIF(C5:C24,"✓")&amp;" of "&amp;COUNTA(B5:B24)&amp;" items"</f>
        <v>0 of 16 items</v>
      </c>
      <c r="C2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2026-06-12T15:37:47Z</dcterms:created>
  <dc:creator>openpyxl</dc:creator>
  <dc:description/>
  <dc:language>en-US</dc:language>
  <cp:lastModifiedBy/>
  <dcterms:modified xsi:type="dcterms:W3CDTF">2026-06-12T15:37:47Z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