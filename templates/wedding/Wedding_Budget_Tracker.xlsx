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dget" sheetId="2" state="visible" r:id="rId4"/>
    <sheet name="Vendors" sheetId="3" state="visible" r:id="rId5"/>
    <sheet name="Payment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<sst xmlns="http://schemas.openxmlformats.org/spreadsheetml/2006/main" count="63" uniqueCount="47">
  <si>
    <t xml:space="preserve">💒  WEDDING BUDGET TRACKER</t>
  </si>
  <si>
    <t xml:space="preserve">Track every dollar — from venue to favors.</t>
  </si>
  <si>
    <t xml:space="preserve">TOTAL BUDGET</t>
  </si>
  <si>
    <t xml:space="preserve">TOTAL SPENT</t>
  </si>
  <si>
    <t xml:space="preserve">REMAINING</t>
  </si>
  <si>
    <t xml:space="preserve">% USED</t>
  </si>
  <si>
    <t xml:space="preserve">Category</t>
  </si>
  <si>
    <t xml:space="preserve">Budget</t>
  </si>
  <si>
    <t xml:space="preserve">Spent</t>
  </si>
  <si>
    <t xml:space="preserve">Remaining</t>
  </si>
  <si>
    <t xml:space="preserve">% Used</t>
  </si>
  <si>
    <t xml:space="preserve">Status</t>
  </si>
  <si>
    <t xml:space="preserve">TOTAL</t>
  </si>
  <si>
    <t xml:space="preserve">Wedding Budget — Category Breakdown</t>
  </si>
  <si>
    <t xml:space="preserve">Blue cells = enter your values  |  Black cells = calculated automatically</t>
  </si>
  <si>
    <t xml:space="preserve">#</t>
  </si>
  <si>
    <t xml:space="preserve">Actual Spent</t>
  </si>
  <si>
    <t xml:space="preserve">Notes</t>
  </si>
  <si>
    <t xml:space="preserve">Venue</t>
  </si>
  <si>
    <t xml:space="preserve">Catering</t>
  </si>
  <si>
    <t xml:space="preserve">Photography</t>
  </si>
  <si>
    <t xml:space="preserve">Videography</t>
  </si>
  <si>
    <t xml:space="preserve">Flowers &amp; Décor</t>
  </si>
  <si>
    <t xml:space="preserve">Music &amp; Entertainment</t>
  </si>
  <si>
    <t xml:space="preserve">Attire &amp; Beauty</t>
  </si>
  <si>
    <t xml:space="preserve">Stationery &amp; Favors</t>
  </si>
  <si>
    <t xml:space="preserve">Transportation</t>
  </si>
  <si>
    <t xml:space="preserve">Honeymoon</t>
  </si>
  <si>
    <t xml:space="preserve">Officiant &amp; Ceremony</t>
  </si>
  <si>
    <t xml:space="preserve">Miscellaneous</t>
  </si>
  <si>
    <t xml:space="preserve">Vendor Directory &amp; Payment Tracker</t>
  </si>
  <si>
    <t xml:space="preserve">Vendor Name</t>
  </si>
  <si>
    <t xml:space="preserve">Contact</t>
  </si>
  <si>
    <t xml:space="preserve">Phone</t>
  </si>
  <si>
    <t xml:space="preserve">Email</t>
  </si>
  <si>
    <t xml:space="preserve">Contract Amt</t>
  </si>
  <si>
    <t xml:space="preserve">Deposit Paid</t>
  </si>
  <si>
    <t xml:space="preserve">Balance Due</t>
  </si>
  <si>
    <t xml:space="preserve">Attire</t>
  </si>
  <si>
    <t xml:space="preserve">Officiant</t>
  </si>
  <si>
    <t xml:space="preserve">TOTALS</t>
  </si>
  <si>
    <t xml:space="preserve">Upcoming Payments &amp; Deadlines</t>
  </si>
  <si>
    <t xml:space="preserve">Due Date</t>
  </si>
  <si>
    <t xml:space="preserve">Vendor</t>
  </si>
  <si>
    <t xml:space="preserve">Amount Due</t>
  </si>
  <si>
    <t xml:space="preserve">Paid?</t>
  </si>
  <si>
    <t xml:space="preserve">Date Paid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</si>
</sst>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\$#,##0;&quot;($&quot;#,##0\);\-"/>
    <numFmt numFmtId="168" formatCode="0.0%;\(0.0%\);\-"/>
    <numFmt numFmtId="169" formatCode="mm/d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8B6AB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8B6AB0"/>
        <bgColor rgb="FF888888"/>
      </patternFill>
    </fill>
    <fill>
      <patternFill patternType="solid">
        <fgColor rgb="FFF3EEF9"/>
        <bgColor rgb="FFEEF2FF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3EE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3EEF9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6A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3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4" t="s">
        <v>2</v>
      </c>
      <c r="C4" s="4"/>
      <c r="D4" s="4" t="s">
        <v>3</v>
      </c>
      <c r="E4" s="4"/>
      <c r="F4" s="4" t="s">
        <v>4</v>
      </c>
      <c r="G4" s="4"/>
      <c r="H4" s="4" t="s">
        <v>5</v>
      </c>
      <c r="I4" s="4"/>
    </row>
    <row r="5" customFormat="false" ht="27.75" hidden="false" customHeight="true" outlineLevel="0" collapsed="false">
      <c r="B5" s="5" t="n">
        <f aca="false">SUM(Budget!C4:C15)</f>
        <v>44500</v>
      </c>
      <c r="C5" s="5"/>
      <c r="D5" s="5" t="n">
        <f aca="false">SUM(Budget!D4:D15)</f>
        <v>0</v>
      </c>
      <c r="E5" s="5"/>
      <c r="F5" s="5" t="n">
        <f aca="false">B5-D5</f>
        <v>44500</v>
      </c>
      <c r="G5" s="5"/>
      <c r="H5" s="6" t="n">
        <f aca="false">IF(B5=0,0,D5/B5)</f>
        <v>0</v>
      </c>
      <c r="I5" s="6"/>
    </row>
    <row r="7" customFormat="false" ht="15.75" hidden="false" customHeight="true" outlineLevel="0" collapsed="false"/>
    <row r="8" customFormat="false" ht="21.7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9.5" hidden="false" customHeight="true" outlineLevel="0" collapsed="false">
      <c r="A9" s="8" t="str">
        <f aca="false">Budget!B4</f>
        <v>Venue</v>
      </c>
      <c r="B9" s="9" t="n">
        <f aca="false">Budget!C4</f>
        <v>8000</v>
      </c>
      <c r="C9" s="9" t="n">
        <f aca="false">Budget!D4</f>
        <v>0</v>
      </c>
      <c r="D9" s="9" t="n">
        <f aca="false">Budget!E4</f>
        <v>8000</v>
      </c>
      <c r="E9" s="10" t="n">
        <f aca="false">IF(Budget!C4=0,"-",Budget!D4/Budget!C4)</f>
        <v>0</v>
      </c>
      <c r="F9" s="11" t="str">
        <f aca="false">IF(E9="","",(IF(E9&gt;1,"⚠ Over Budget",IF(E9&gt;0.9,"⚡ Near Limit","✓ On Track"))))</f>
        <v>✓ On Track</v>
      </c>
    </row>
    <row r="10" customFormat="false" ht="19.5" hidden="false" customHeight="true" outlineLevel="0" collapsed="false">
      <c r="A10" s="12" t="str">
        <f aca="false">Budget!B5</f>
        <v>Catering</v>
      </c>
      <c r="B10" s="13" t="n">
        <f aca="false">Budget!C5</f>
        <v>12000</v>
      </c>
      <c r="C10" s="13" t="n">
        <f aca="false">Budget!D5</f>
        <v>0</v>
      </c>
      <c r="D10" s="13" t="n">
        <f aca="false">Budget!E5</f>
        <v>12000</v>
      </c>
      <c r="E10" s="14" t="n">
        <f aca="false">IF(Budget!C5=0,"-",Budget!D5/Budget!C5)</f>
        <v>0</v>
      </c>
      <c r="F10" s="15" t="str">
        <f aca="false">IF(E10="","",(IF(E10&gt;1,"⚠ Over Budget",IF(E10&gt;0.9,"⚡ Near Limit","✓ On Track"))))</f>
        <v>✓ On Track</v>
      </c>
    </row>
    <row r="11" customFormat="false" ht="19.5" hidden="false" customHeight="true" outlineLevel="0" collapsed="false">
      <c r="A11" s="8" t="str">
        <f aca="false">Budget!B6</f>
        <v>Photography</v>
      </c>
      <c r="B11" s="9" t="n">
        <f aca="false">Budget!C6</f>
        <v>3500</v>
      </c>
      <c r="C11" s="9" t="n">
        <f aca="false">Budget!D6</f>
        <v>0</v>
      </c>
      <c r="D11" s="9" t="n">
        <f aca="false">Budget!E6</f>
        <v>3500</v>
      </c>
      <c r="E11" s="10" t="n">
        <f aca="false">IF(Budget!C6=0,"-",Budget!D6/Budget!C6)</f>
        <v>0</v>
      </c>
      <c r="F11" s="11" t="str">
        <f aca="false">IF(E11="","",(IF(E11&gt;1,"⚠ Over Budget",IF(E11&gt;0.9,"⚡ Near Limit","✓ On Track"))))</f>
        <v>✓ On Track</v>
      </c>
    </row>
    <row r="12" customFormat="false" ht="19.5" hidden="false" customHeight="true" outlineLevel="0" collapsed="false">
      <c r="A12" s="12" t="str">
        <f aca="false">Budget!B7</f>
        <v>Videography</v>
      </c>
      <c r="B12" s="13" t="n">
        <f aca="false">Budget!C7</f>
        <v>2000</v>
      </c>
      <c r="C12" s="13" t="n">
        <f aca="false">Budget!D7</f>
        <v>0</v>
      </c>
      <c r="D12" s="13" t="n">
        <f aca="false">Budget!E7</f>
        <v>2000</v>
      </c>
      <c r="E12" s="14" t="n">
        <f aca="false">IF(Budget!C7=0,"-",Budget!D7/Budget!C7)</f>
        <v>0</v>
      </c>
      <c r="F12" s="15" t="str">
        <f aca="false">IF(E12="","",(IF(E12&gt;1,"⚠ Over Budget",IF(E12&gt;0.9,"⚡ Near Limit","✓ On Track"))))</f>
        <v>✓ On Track</v>
      </c>
    </row>
    <row r="13" customFormat="false" ht="19.5" hidden="false" customHeight="true" outlineLevel="0" collapsed="false">
      <c r="A13" s="8" t="str">
        <f aca="false">Budget!B8</f>
        <v>Flowers &amp; Décor</v>
      </c>
      <c r="B13" s="9" t="n">
        <f aca="false">Budget!C8</f>
        <v>3000</v>
      </c>
      <c r="C13" s="9" t="n">
        <f aca="false">Budget!D8</f>
        <v>0</v>
      </c>
      <c r="D13" s="9" t="n">
        <f aca="false">Budget!E8</f>
        <v>3000</v>
      </c>
      <c r="E13" s="10" t="n">
        <f aca="false">IF(Budget!C8=0,"-",Budget!D8/Budget!C8)</f>
        <v>0</v>
      </c>
      <c r="F13" s="11" t="str">
        <f aca="false">IF(E13="","",(IF(E13&gt;1,"⚠ Over Budget",IF(E13&gt;0.9,"⚡ Near Limit","✓ On Track"))))</f>
        <v>✓ On Track</v>
      </c>
    </row>
    <row r="14" customFormat="false" ht="19.5" hidden="false" customHeight="true" outlineLevel="0" collapsed="false">
      <c r="A14" s="12" t="str">
        <f aca="false">Budget!B9</f>
        <v>Music &amp; Entertainment</v>
      </c>
      <c r="B14" s="13" t="n">
        <f aca="false">Budget!C9</f>
        <v>2500</v>
      </c>
      <c r="C14" s="13" t="n">
        <f aca="false">Budget!D9</f>
        <v>0</v>
      </c>
      <c r="D14" s="13" t="n">
        <f aca="false">Budget!E9</f>
        <v>2500</v>
      </c>
      <c r="E14" s="14" t="n">
        <f aca="false">IF(Budget!C9=0,"-",Budget!D9/Budget!C9)</f>
        <v>0</v>
      </c>
      <c r="F14" s="15" t="str">
        <f aca="false">IF(E14="","",(IF(E14&gt;1,"⚠ Over Budget",IF(E14&gt;0.9,"⚡ Near Limit","✓ On Track"))))</f>
        <v>✓ On Track</v>
      </c>
    </row>
    <row r="15" customFormat="false" ht="19.5" hidden="false" customHeight="true" outlineLevel="0" collapsed="false">
      <c r="A15" s="8" t="str">
        <f aca="false">Budget!B10</f>
        <v>Attire &amp; Beauty</v>
      </c>
      <c r="B15" s="9" t="n">
        <f aca="false">Budget!C10</f>
        <v>4000</v>
      </c>
      <c r="C15" s="9" t="n">
        <f aca="false">Budget!D10</f>
        <v>0</v>
      </c>
      <c r="D15" s="9" t="n">
        <f aca="false">Budget!E10</f>
        <v>4000</v>
      </c>
      <c r="E15" s="10" t="n">
        <f aca="false">IF(Budget!C10=0,"-",Budget!D10/Budget!C10)</f>
        <v>0</v>
      </c>
      <c r="F15" s="11" t="str">
        <f aca="false">IF(E15="","",(IF(E15&gt;1,"⚠ Over Budget",IF(E15&gt;0.9,"⚡ Near Limit","✓ On Track"))))</f>
        <v>✓ On Track</v>
      </c>
    </row>
    <row r="16" customFormat="false" ht="19.5" hidden="false" customHeight="true" outlineLevel="0" collapsed="false">
      <c r="A16" s="12" t="str">
        <f aca="false">Budget!B11</f>
        <v>Stationery &amp; Favors</v>
      </c>
      <c r="B16" s="13" t="n">
        <f aca="false">Budget!C11</f>
        <v>1500</v>
      </c>
      <c r="C16" s="13" t="n">
        <f aca="false">Budget!D11</f>
        <v>0</v>
      </c>
      <c r="D16" s="13" t="n">
        <f aca="false">Budget!E11</f>
        <v>1500</v>
      </c>
      <c r="E16" s="14" t="n">
        <f aca="false">IF(Budget!C11=0,"-",Budget!D11/Budget!C11)</f>
        <v>0</v>
      </c>
      <c r="F16" s="15" t="str">
        <f aca="false">IF(E16="","",(IF(E16&gt;1,"⚠ Over Budget",IF(E16&gt;0.9,"⚡ Near Limit","✓ On Track"))))</f>
        <v>✓ On Track</v>
      </c>
    </row>
    <row r="17" customFormat="false" ht="19.5" hidden="false" customHeight="true" outlineLevel="0" collapsed="false">
      <c r="A17" s="8" t="str">
        <f aca="false">Budget!B12</f>
        <v>Transportation</v>
      </c>
      <c r="B17" s="9" t="n">
        <f aca="false">Budget!C12</f>
        <v>1200</v>
      </c>
      <c r="C17" s="9" t="n">
        <f aca="false">Budget!D12</f>
        <v>0</v>
      </c>
      <c r="D17" s="9" t="n">
        <f aca="false">Budget!E12</f>
        <v>1200</v>
      </c>
      <c r="E17" s="10" t="n">
        <f aca="false">IF(Budget!C12=0,"-",Budget!D12/Budget!C12)</f>
        <v>0</v>
      </c>
      <c r="F17" s="11" t="str">
        <f aca="false">IF(E17="","",(IF(E17&gt;1,"⚠ Over Budget",IF(E17&gt;0.9,"⚡ Near Limit","✓ On Track"))))</f>
        <v>✓ On Track</v>
      </c>
    </row>
    <row r="18" customFormat="false" ht="19.5" hidden="false" customHeight="true" outlineLevel="0" collapsed="false">
      <c r="A18" s="12" t="str">
        <f aca="false">Budget!B13</f>
        <v>Honeymoon</v>
      </c>
      <c r="B18" s="13" t="n">
        <f aca="false">Budget!C13</f>
        <v>5000</v>
      </c>
      <c r="C18" s="13" t="n">
        <f aca="false">Budget!D13</f>
        <v>0</v>
      </c>
      <c r="D18" s="13" t="n">
        <f aca="false">Budget!E13</f>
        <v>5000</v>
      </c>
      <c r="E18" s="14" t="n">
        <f aca="false">IF(Budget!C13=0,"-",Budget!D13/Budget!C13)</f>
        <v>0</v>
      </c>
      <c r="F18" s="15" t="str">
        <f aca="false">IF(E18="","",(IF(E18&gt;1,"⚠ Over Budget",IF(E18&gt;0.9,"⚡ Near Limit","✓ On Track"))))</f>
        <v>✓ On Track</v>
      </c>
    </row>
    <row r="19" customFormat="false" ht="19.5" hidden="false" customHeight="true" outlineLevel="0" collapsed="false">
      <c r="A19" s="8" t="str">
        <f aca="false">Budget!B14</f>
        <v>Officiant &amp; Ceremony</v>
      </c>
      <c r="B19" s="9" t="n">
        <f aca="false">Budget!C14</f>
        <v>800</v>
      </c>
      <c r="C19" s="9" t="n">
        <f aca="false">Budget!D14</f>
        <v>0</v>
      </c>
      <c r="D19" s="9" t="n">
        <f aca="false">Budget!E14</f>
        <v>800</v>
      </c>
      <c r="E19" s="10" t="n">
        <f aca="false">IF(Budget!C14=0,"-",Budget!D14/Budget!C14)</f>
        <v>0</v>
      </c>
      <c r="F19" s="11" t="str">
        <f aca="false">IF(E19="","",(IF(E19&gt;1,"⚠ Over Budget",IF(E19&gt;0.9,"⚡ Near Limit","✓ On Track"))))</f>
        <v>✓ On Track</v>
      </c>
    </row>
    <row r="20" customFormat="false" ht="19.5" hidden="false" customHeight="true" outlineLevel="0" collapsed="false">
      <c r="A20" s="12" t="str">
        <f aca="false">Budget!B15</f>
        <v>Miscellaneous</v>
      </c>
      <c r="B20" s="13" t="n">
        <f aca="false">Budget!C15</f>
        <v>1000</v>
      </c>
      <c r="C20" s="13" t="n">
        <f aca="false">Budget!D15</f>
        <v>0</v>
      </c>
      <c r="D20" s="13" t="n">
        <f aca="false">Budget!E15</f>
        <v>1000</v>
      </c>
      <c r="E20" s="14" t="n">
        <f aca="false">IF(Budget!C15=0,"-",Budget!D15/Budget!C15)</f>
        <v>0</v>
      </c>
      <c r="F20" s="15" t="str">
        <f aca="false">IF(E20="","",(IF(E20&gt;1,"⚠ Over Budget",IF(E20&gt;0.9,"⚡ Near Limit","✓ On Track"))))</f>
        <v>✓ On Track</v>
      </c>
    </row>
    <row r="21" customFormat="false" ht="21.75" hidden="false" customHeight="true" outlineLevel="0" collapsed="false">
      <c r="A21" s="16" t="s">
        <v>12</v>
      </c>
      <c r="B21" s="17" t="n">
        <f aca="false">SUM(B9:B20)</f>
        <v>44500</v>
      </c>
      <c r="C21" s="17" t="n">
        <f aca="false">SUM(C9:C20)</f>
        <v>0</v>
      </c>
      <c r="D21" s="17" t="n">
        <f aca="false">SUM(D9:D20)</f>
        <v>44500</v>
      </c>
      <c r="E21" s="18" t="n">
        <f aca="false">IF(B21=0,0,C21/B21)</f>
        <v>0</v>
      </c>
      <c r="F21" s="19"/>
    </row>
  </sheetData>
  <mergeCells count="10">
    <mergeCell ref="A1:H1"/>
    <mergeCell ref="A2:H2"/>
    <mergeCell ref="B4:C4"/>
    <mergeCell ref="D4:E4"/>
    <mergeCell ref="F4:G4"/>
    <mergeCell ref="H4:I4"/>
    <mergeCell ref="B5:C5"/>
    <mergeCell ref="D5:E5"/>
    <mergeCell ref="F5:G5"/>
    <mergeCell ref="H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20" t="s">
        <v>13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21" t="s">
        <v>14</v>
      </c>
      <c r="B2" s="21"/>
      <c r="C2" s="21"/>
      <c r="D2" s="21"/>
      <c r="E2" s="21"/>
      <c r="F2" s="21"/>
      <c r="G2" s="21"/>
    </row>
    <row r="3" customFormat="false" ht="21.75" hidden="false" customHeight="true" outlineLevel="0" collapsed="false">
      <c r="A3" s="7" t="s">
        <v>15</v>
      </c>
      <c r="B3" s="7" t="s">
        <v>6</v>
      </c>
      <c r="C3" s="7" t="s">
        <v>7</v>
      </c>
      <c r="D3" s="7" t="s">
        <v>16</v>
      </c>
      <c r="E3" s="7" t="s">
        <v>9</v>
      </c>
      <c r="F3" s="7" t="s">
        <v>10</v>
      </c>
      <c r="G3" s="7" t="s">
        <v>17</v>
      </c>
    </row>
    <row r="4" customFormat="false" ht="19.5" hidden="false" customHeight="true" outlineLevel="0" collapsed="false">
      <c r="A4" s="22" t="n">
        <v>1</v>
      </c>
      <c r="B4" s="23" t="s">
        <v>18</v>
      </c>
      <c r="C4" s="24" t="n">
        <v>8000</v>
      </c>
      <c r="D4" s="24" t="n">
        <v>0</v>
      </c>
      <c r="E4" s="25" t="n">
        <f aca="false">C4-D4</f>
        <v>8000</v>
      </c>
      <c r="F4" s="10" t="n">
        <f aca="false">IF(C4=0,"-",D4/C4)</f>
        <v>0</v>
      </c>
      <c r="G4" s="26"/>
    </row>
    <row r="5" customFormat="false" ht="19.5" hidden="false" customHeight="true" outlineLevel="0" collapsed="false">
      <c r="A5" s="27" t="n">
        <v>2</v>
      </c>
      <c r="B5" s="28" t="s">
        <v>19</v>
      </c>
      <c r="C5" s="24" t="n">
        <v>12000</v>
      </c>
      <c r="D5" s="24" t="n">
        <v>0</v>
      </c>
      <c r="E5" s="29" t="n">
        <f aca="false">C5-D5</f>
        <v>12000</v>
      </c>
      <c r="F5" s="14" t="n">
        <f aca="false">IF(C5=0,"-",D5/C5)</f>
        <v>0</v>
      </c>
      <c r="G5" s="26"/>
    </row>
    <row r="6" customFormat="false" ht="19.5" hidden="false" customHeight="true" outlineLevel="0" collapsed="false">
      <c r="A6" s="22" t="n">
        <v>3</v>
      </c>
      <c r="B6" s="23" t="s">
        <v>20</v>
      </c>
      <c r="C6" s="24" t="n">
        <v>3500</v>
      </c>
      <c r="D6" s="24" t="n">
        <v>0</v>
      </c>
      <c r="E6" s="25" t="n">
        <f aca="false">C6-D6</f>
        <v>3500</v>
      </c>
      <c r="F6" s="10" t="n">
        <f aca="false">IF(C6=0,"-",D6/C6)</f>
        <v>0</v>
      </c>
      <c r="G6" s="26"/>
    </row>
    <row r="7" customFormat="false" ht="19.5" hidden="false" customHeight="true" outlineLevel="0" collapsed="false">
      <c r="A7" s="27" t="n">
        <v>4</v>
      </c>
      <c r="B7" s="28" t="s">
        <v>21</v>
      </c>
      <c r="C7" s="24" t="n">
        <v>2000</v>
      </c>
      <c r="D7" s="24" t="n">
        <v>0</v>
      </c>
      <c r="E7" s="29" t="n">
        <f aca="false">C7-D7</f>
        <v>2000</v>
      </c>
      <c r="F7" s="14" t="n">
        <f aca="false">IF(C7=0,"-",D7/C7)</f>
        <v>0</v>
      </c>
      <c r="G7" s="26"/>
    </row>
    <row r="8" customFormat="false" ht="19.5" hidden="false" customHeight="true" outlineLevel="0" collapsed="false">
      <c r="A8" s="22" t="n">
        <v>5</v>
      </c>
      <c r="B8" s="23" t="s">
        <v>22</v>
      </c>
      <c r="C8" s="24" t="n">
        <v>3000</v>
      </c>
      <c r="D8" s="24" t="n">
        <v>0</v>
      </c>
      <c r="E8" s="25" t="n">
        <f aca="false">C8-D8</f>
        <v>3000</v>
      </c>
      <c r="F8" s="10" t="n">
        <f aca="false">IF(C8=0,"-",D8/C8)</f>
        <v>0</v>
      </c>
      <c r="G8" s="26"/>
    </row>
    <row r="9" customFormat="false" ht="19.5" hidden="false" customHeight="true" outlineLevel="0" collapsed="false">
      <c r="A9" s="27" t="n">
        <v>6</v>
      </c>
      <c r="B9" s="28" t="s">
        <v>23</v>
      </c>
      <c r="C9" s="24" t="n">
        <v>2500</v>
      </c>
      <c r="D9" s="24" t="n">
        <v>0</v>
      </c>
      <c r="E9" s="29" t="n">
        <f aca="false">C9-D9</f>
        <v>2500</v>
      </c>
      <c r="F9" s="14" t="n">
        <f aca="false">IF(C9=0,"-",D9/C9)</f>
        <v>0</v>
      </c>
      <c r="G9" s="26"/>
    </row>
    <row r="10" customFormat="false" ht="19.5" hidden="false" customHeight="true" outlineLevel="0" collapsed="false">
      <c r="A10" s="22" t="n">
        <v>7</v>
      </c>
      <c r="B10" s="23" t="s">
        <v>24</v>
      </c>
      <c r="C10" s="24" t="n">
        <v>4000</v>
      </c>
      <c r="D10" s="24" t="n">
        <v>0</v>
      </c>
      <c r="E10" s="25" t="n">
        <f aca="false">C10-D10</f>
        <v>4000</v>
      </c>
      <c r="F10" s="10" t="n">
        <f aca="false">IF(C10=0,"-",D10/C10)</f>
        <v>0</v>
      </c>
      <c r="G10" s="26"/>
    </row>
    <row r="11" customFormat="false" ht="19.5" hidden="false" customHeight="true" outlineLevel="0" collapsed="false">
      <c r="A11" s="27" t="n">
        <v>8</v>
      </c>
      <c r="B11" s="28" t="s">
        <v>25</v>
      </c>
      <c r="C11" s="24" t="n">
        <v>1500</v>
      </c>
      <c r="D11" s="24" t="n">
        <v>0</v>
      </c>
      <c r="E11" s="29" t="n">
        <f aca="false">C11-D11</f>
        <v>1500</v>
      </c>
      <c r="F11" s="14" t="n">
        <f aca="false">IF(C11=0,"-",D11/C11)</f>
        <v>0</v>
      </c>
      <c r="G11" s="26"/>
    </row>
    <row r="12" customFormat="false" ht="19.5" hidden="false" customHeight="true" outlineLevel="0" collapsed="false">
      <c r="A12" s="22" t="n">
        <v>9</v>
      </c>
      <c r="B12" s="23" t="s">
        <v>26</v>
      </c>
      <c r="C12" s="24" t="n">
        <v>1200</v>
      </c>
      <c r="D12" s="24" t="n">
        <v>0</v>
      </c>
      <c r="E12" s="25" t="n">
        <f aca="false">C12-D12</f>
        <v>1200</v>
      </c>
      <c r="F12" s="10" t="n">
        <f aca="false">IF(C12=0,"-",D12/C12)</f>
        <v>0</v>
      </c>
      <c r="G12" s="26"/>
    </row>
    <row r="13" customFormat="false" ht="19.5" hidden="false" customHeight="true" outlineLevel="0" collapsed="false">
      <c r="A13" s="27" t="n">
        <v>10</v>
      </c>
      <c r="B13" s="28" t="s">
        <v>27</v>
      </c>
      <c r="C13" s="24" t="n">
        <v>5000</v>
      </c>
      <c r="D13" s="24" t="n">
        <v>0</v>
      </c>
      <c r="E13" s="29" t="n">
        <f aca="false">C13-D13</f>
        <v>5000</v>
      </c>
      <c r="F13" s="14" t="n">
        <f aca="false">IF(C13=0,"-",D13/C13)</f>
        <v>0</v>
      </c>
      <c r="G13" s="26"/>
    </row>
    <row r="14" customFormat="false" ht="19.5" hidden="false" customHeight="true" outlineLevel="0" collapsed="false">
      <c r="A14" s="22" t="n">
        <v>11</v>
      </c>
      <c r="B14" s="23" t="s">
        <v>28</v>
      </c>
      <c r="C14" s="24" t="n">
        <v>800</v>
      </c>
      <c r="D14" s="24" t="n">
        <v>0</v>
      </c>
      <c r="E14" s="25" t="n">
        <f aca="false">C14-D14</f>
        <v>800</v>
      </c>
      <c r="F14" s="10" t="n">
        <f aca="false">IF(C14=0,"-",D14/C14)</f>
        <v>0</v>
      </c>
      <c r="G14" s="26"/>
    </row>
    <row r="15" customFormat="false" ht="19.5" hidden="false" customHeight="true" outlineLevel="0" collapsed="false">
      <c r="A15" s="27" t="n">
        <v>12</v>
      </c>
      <c r="B15" s="28" t="s">
        <v>29</v>
      </c>
      <c r="C15" s="24" t="n">
        <v>1000</v>
      </c>
      <c r="D15" s="24" t="n">
        <v>0</v>
      </c>
      <c r="E15" s="29" t="n">
        <f aca="false">C15-D15</f>
        <v>1000</v>
      </c>
      <c r="F15" s="14" t="n">
        <f aca="false">IF(C15=0,"-",D15/C15)</f>
        <v>0</v>
      </c>
      <c r="G15" s="26"/>
    </row>
    <row r="16" customFormat="false" ht="21.75" hidden="false" customHeight="true" outlineLevel="0" collapsed="false">
      <c r="A16" s="30"/>
      <c r="B16" s="16" t="s">
        <v>12</v>
      </c>
      <c r="C16" s="17" t="n">
        <f aca="false">SUM(C4:C15)</f>
        <v>44500</v>
      </c>
      <c r="D16" s="17" t="n">
        <f aca="false">SUM(D4:D15)</f>
        <v>0</v>
      </c>
      <c r="E16" s="17" t="n">
        <f aca="false">SUM(E4:E15)</f>
        <v>44500</v>
      </c>
      <c r="F16" s="18" t="n">
        <f aca="false">IF(C16=0,0,D16/C16)</f>
        <v>0</v>
      </c>
      <c r="G16" s="1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9" min="6" style="1" width="14"/>
  </cols>
  <sheetData>
    <row r="1" customFormat="false" ht="27.75" hidden="false" customHeight="true" outlineLevel="0" collapsed="false">
      <c r="A1" s="20" t="s">
        <v>30</v>
      </c>
      <c r="B1" s="20"/>
      <c r="C1" s="20"/>
      <c r="D1" s="20"/>
      <c r="E1" s="20"/>
      <c r="F1" s="20"/>
      <c r="G1" s="20"/>
      <c r="H1" s="20"/>
      <c r="I1" s="20"/>
    </row>
    <row r="3" customFormat="false" ht="21.75" hidden="false" customHeight="true" outlineLevel="0" collapsed="false">
      <c r="A3" s="7" t="s">
        <v>6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11</v>
      </c>
    </row>
    <row r="4" customFormat="false" ht="19.5" hidden="false" customHeight="true" outlineLevel="0" collapsed="false">
      <c r="A4" s="31" t="s">
        <v>18</v>
      </c>
      <c r="B4" s="32"/>
      <c r="C4" s="32"/>
      <c r="D4" s="32"/>
      <c r="E4" s="32"/>
      <c r="F4" s="24" t="n">
        <v>0</v>
      </c>
      <c r="G4" s="24" t="n">
        <v>0</v>
      </c>
      <c r="H4" s="25" t="str">
        <f aca="false">IF(F4=0,"-",F4-G4)</f>
        <v>-</v>
      </c>
      <c r="I4" s="11" t="str">
        <f aca="false">IF(F4=0,"",IF(G4&gt;=F4,"✓ Paid","⏳ Pending"))</f>
        <v/>
      </c>
    </row>
    <row r="5" customFormat="false" ht="19.5" hidden="false" customHeight="true" outlineLevel="0" collapsed="false">
      <c r="A5" s="33" t="s">
        <v>19</v>
      </c>
      <c r="B5" s="32"/>
      <c r="C5" s="32"/>
      <c r="D5" s="32"/>
      <c r="E5" s="32"/>
      <c r="F5" s="24" t="n">
        <v>0</v>
      </c>
      <c r="G5" s="24" t="n">
        <v>0</v>
      </c>
      <c r="H5" s="29" t="str">
        <f aca="false">IF(F5=0,"-",F5-G5)</f>
        <v>-</v>
      </c>
      <c r="I5" s="15" t="str">
        <f aca="false">IF(F5=0,"",IF(G5&gt;=F5,"✓ Paid","⏳ Pending"))</f>
        <v/>
      </c>
    </row>
    <row r="6" customFormat="false" ht="19.5" hidden="false" customHeight="true" outlineLevel="0" collapsed="false">
      <c r="A6" s="31" t="s">
        <v>20</v>
      </c>
      <c r="B6" s="32"/>
      <c r="C6" s="32"/>
      <c r="D6" s="32"/>
      <c r="E6" s="32"/>
      <c r="F6" s="24" t="n">
        <v>0</v>
      </c>
      <c r="G6" s="24" t="n">
        <v>0</v>
      </c>
      <c r="H6" s="25" t="str">
        <f aca="false">IF(F6=0,"-",F6-G6)</f>
        <v>-</v>
      </c>
      <c r="I6" s="11" t="str">
        <f aca="false">IF(F6=0,"",IF(G6&gt;=F6,"✓ Paid","⏳ Pending"))</f>
        <v/>
      </c>
    </row>
    <row r="7" customFormat="false" ht="19.5" hidden="false" customHeight="true" outlineLevel="0" collapsed="false">
      <c r="A7" s="33" t="s">
        <v>21</v>
      </c>
      <c r="B7" s="32"/>
      <c r="C7" s="32"/>
      <c r="D7" s="32"/>
      <c r="E7" s="32"/>
      <c r="F7" s="24" t="n">
        <v>0</v>
      </c>
      <c r="G7" s="24" t="n">
        <v>0</v>
      </c>
      <c r="H7" s="29" t="str">
        <f aca="false">IF(F7=0,"-",F7-G7)</f>
        <v>-</v>
      </c>
      <c r="I7" s="15" t="str">
        <f aca="false">IF(F7=0,"",IF(G7&gt;=F7,"✓ Paid","⏳ Pending"))</f>
        <v/>
      </c>
    </row>
    <row r="8" customFormat="false" ht="19.5" hidden="false" customHeight="true" outlineLevel="0" collapsed="false">
      <c r="A8" s="31" t="s">
        <v>22</v>
      </c>
      <c r="B8" s="32"/>
      <c r="C8" s="32"/>
      <c r="D8" s="32"/>
      <c r="E8" s="32"/>
      <c r="F8" s="24" t="n">
        <v>0</v>
      </c>
      <c r="G8" s="24" t="n">
        <v>0</v>
      </c>
      <c r="H8" s="25" t="str">
        <f aca="false">IF(F8=0,"-",F8-G8)</f>
        <v>-</v>
      </c>
      <c r="I8" s="11" t="str">
        <f aca="false">IF(F8=0,"",IF(G8&gt;=F8,"✓ Paid","⏳ Pending"))</f>
        <v/>
      </c>
    </row>
    <row r="9" customFormat="false" ht="19.5" hidden="false" customHeight="true" outlineLevel="0" collapsed="false">
      <c r="A9" s="33" t="s">
        <v>23</v>
      </c>
      <c r="B9" s="32"/>
      <c r="C9" s="32"/>
      <c r="D9" s="32"/>
      <c r="E9" s="32"/>
      <c r="F9" s="24" t="n">
        <v>0</v>
      </c>
      <c r="G9" s="24" t="n">
        <v>0</v>
      </c>
      <c r="H9" s="29" t="str">
        <f aca="false">IF(F9=0,"-",F9-G9)</f>
        <v>-</v>
      </c>
      <c r="I9" s="15" t="str">
        <f aca="false">IF(F9=0,"",IF(G9&gt;=F9,"✓ Paid","⏳ Pending"))</f>
        <v/>
      </c>
    </row>
    <row r="10" customFormat="false" ht="19.5" hidden="false" customHeight="true" outlineLevel="0" collapsed="false">
      <c r="A10" s="31" t="s">
        <v>38</v>
      </c>
      <c r="B10" s="32"/>
      <c r="C10" s="32"/>
      <c r="D10" s="32"/>
      <c r="E10" s="32"/>
      <c r="F10" s="24" t="n">
        <v>0</v>
      </c>
      <c r="G10" s="24" t="n">
        <v>0</v>
      </c>
      <c r="H10" s="25" t="str">
        <f aca="false">IF(F10=0,"-",F10-G10)</f>
        <v>-</v>
      </c>
      <c r="I10" s="11" t="str">
        <f aca="false">IF(F10=0,"",IF(G10&gt;=F10,"✓ Paid","⏳ Pending"))</f>
        <v/>
      </c>
    </row>
    <row r="11" customFormat="false" ht="19.5" hidden="false" customHeight="true" outlineLevel="0" collapsed="false">
      <c r="A11" s="33" t="s">
        <v>26</v>
      </c>
      <c r="B11" s="32"/>
      <c r="C11" s="32"/>
      <c r="D11" s="32"/>
      <c r="E11" s="32"/>
      <c r="F11" s="24" t="n">
        <v>0</v>
      </c>
      <c r="G11" s="24" t="n">
        <v>0</v>
      </c>
      <c r="H11" s="29" t="str">
        <f aca="false">IF(F11=0,"-",F11-G11)</f>
        <v>-</v>
      </c>
      <c r="I11" s="15" t="str">
        <f aca="false">IF(F11=0,"",IF(G11&gt;=F11,"✓ Paid","⏳ Pending"))</f>
        <v/>
      </c>
    </row>
    <row r="12" customFormat="false" ht="19.5" hidden="false" customHeight="true" outlineLevel="0" collapsed="false">
      <c r="A12" s="31" t="s">
        <v>39</v>
      </c>
      <c r="B12" s="32"/>
      <c r="C12" s="32"/>
      <c r="D12" s="32"/>
      <c r="E12" s="32"/>
      <c r="F12" s="24" t="n">
        <v>0</v>
      </c>
      <c r="G12" s="24" t="n">
        <v>0</v>
      </c>
      <c r="H12" s="25" t="str">
        <f aca="false">IF(F12=0,"-",F12-G12)</f>
        <v>-</v>
      </c>
      <c r="I12" s="11" t="str">
        <f aca="false">IF(F12=0,"",IF(G12&gt;=F12,"✓ Paid","⏳ Pending"))</f>
        <v/>
      </c>
    </row>
    <row r="13" customFormat="false" ht="19.5" hidden="false" customHeight="true" outlineLevel="0" collapsed="false">
      <c r="A13" s="33"/>
      <c r="B13" s="32"/>
      <c r="C13" s="32"/>
      <c r="D13" s="32"/>
      <c r="E13" s="32"/>
      <c r="F13" s="24" t="n">
        <v>0</v>
      </c>
      <c r="G13" s="24" t="n">
        <v>0</v>
      </c>
      <c r="H13" s="29" t="str">
        <f aca="false">IF(F13=0,"-",F13-G13)</f>
        <v>-</v>
      </c>
      <c r="I13" s="15" t="str">
        <f aca="false">IF(F13=0,"",IF(G13&gt;=F13,"✓ Paid","⏳ Pending"))</f>
        <v/>
      </c>
    </row>
    <row r="14" customFormat="false" ht="21.75" hidden="false" customHeight="true" outlineLevel="0" collapsed="false">
      <c r="A14" s="34" t="s">
        <v>40</v>
      </c>
      <c r="B14" s="34"/>
      <c r="C14" s="34"/>
      <c r="D14" s="34"/>
      <c r="E14" s="34"/>
      <c r="F14" s="17" t="n">
        <f aca="false">SUM(F4:F13)</f>
        <v>0</v>
      </c>
      <c r="G14" s="17" t="n">
        <f aca="false">SUM(G4:G13)</f>
        <v>0</v>
      </c>
      <c r="H14" s="17" t="n">
        <f aca="false">SUM(H4:H13)</f>
        <v>0</v>
      </c>
    </row>
  </sheetData>
  <mergeCells count="2">
    <mergeCell ref="A1:I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20" t="s">
        <v>41</v>
      </c>
      <c r="B1" s="20"/>
      <c r="C1" s="20"/>
      <c r="D1" s="20"/>
      <c r="E1" s="20"/>
      <c r="F1" s="20"/>
      <c r="G1" s="20"/>
    </row>
    <row r="3" customFormat="false" ht="21.75" hidden="false" customHeight="true" outlineLevel="0" collapsed="false">
      <c r="A3" s="7" t="s">
        <v>42</v>
      </c>
      <c r="B3" s="7" t="s">
        <v>43</v>
      </c>
      <c r="C3" s="7" t="s">
        <v>6</v>
      </c>
      <c r="D3" s="7" t="s">
        <v>44</v>
      </c>
      <c r="E3" s="7" t="s">
        <v>45</v>
      </c>
      <c r="F3" s="7" t="s">
        <v>46</v>
      </c>
      <c r="G3" s="7" t="s">
        <v>17</v>
      </c>
    </row>
    <row r="4" customFormat="false" ht="19.5" hidden="false" customHeight="true" outlineLevel="0" collapsed="false">
      <c r="A4" s="35"/>
      <c r="B4" s="32"/>
      <c r="C4" s="32"/>
      <c r="D4" s="24"/>
      <c r="E4" s="36"/>
      <c r="F4" s="36"/>
      <c r="G4" s="32"/>
    </row>
    <row r="5" customFormat="false" ht="19.5" hidden="false" customHeight="true" outlineLevel="0" collapsed="false">
      <c r="A5" s="35"/>
      <c r="B5" s="32"/>
      <c r="C5" s="32"/>
      <c r="D5" s="24"/>
      <c r="E5" s="36"/>
      <c r="F5" s="36"/>
      <c r="G5" s="32"/>
    </row>
    <row r="6" customFormat="false" ht="19.5" hidden="false" customHeight="true" outlineLevel="0" collapsed="false">
      <c r="A6" s="35"/>
      <c r="B6" s="32"/>
      <c r="C6" s="32"/>
      <c r="D6" s="24"/>
      <c r="E6" s="36"/>
      <c r="F6" s="36"/>
      <c r="G6" s="32"/>
    </row>
    <row r="7" customFormat="false" ht="19.5" hidden="false" customHeight="true" outlineLevel="0" collapsed="false">
      <c r="A7" s="35"/>
      <c r="B7" s="32"/>
      <c r="C7" s="32"/>
      <c r="D7" s="24"/>
      <c r="E7" s="36"/>
      <c r="F7" s="36"/>
      <c r="G7" s="32"/>
    </row>
    <row r="8" customFormat="false" ht="19.5" hidden="false" customHeight="true" outlineLevel="0" collapsed="false">
      <c r="A8" s="35"/>
      <c r="B8" s="32"/>
      <c r="C8" s="32"/>
      <c r="D8" s="24"/>
      <c r="E8" s="36"/>
      <c r="F8" s="36"/>
      <c r="G8" s="32"/>
    </row>
    <row r="9" customFormat="false" ht="19.5" hidden="false" customHeight="true" outlineLevel="0" collapsed="false">
      <c r="A9" s="35"/>
      <c r="B9" s="32"/>
      <c r="C9" s="32"/>
      <c r="D9" s="24"/>
      <c r="E9" s="36"/>
      <c r="F9" s="36"/>
      <c r="G9" s="32"/>
    </row>
    <row r="10" customFormat="false" ht="19.5" hidden="false" customHeight="true" outlineLevel="0" collapsed="false">
      <c r="A10" s="35"/>
      <c r="B10" s="32"/>
      <c r="C10" s="32"/>
      <c r="D10" s="24"/>
      <c r="E10" s="36"/>
      <c r="F10" s="36"/>
      <c r="G10" s="32"/>
    </row>
    <row r="11" customFormat="false" ht="19.5" hidden="false" customHeight="true" outlineLevel="0" collapsed="false">
      <c r="A11" s="35"/>
      <c r="B11" s="32"/>
      <c r="C11" s="32"/>
      <c r="D11" s="24"/>
      <c r="E11" s="36"/>
      <c r="F11" s="36"/>
      <c r="G11" s="32"/>
    </row>
    <row r="12" customFormat="false" ht="19.5" hidden="false" customHeight="true" outlineLevel="0" collapsed="false">
      <c r="A12" s="35"/>
      <c r="B12" s="32"/>
      <c r="C12" s="32"/>
      <c r="D12" s="24"/>
      <c r="E12" s="36"/>
      <c r="F12" s="36"/>
      <c r="G12" s="32"/>
    </row>
    <row r="13" customFormat="false" ht="19.5" hidden="false" customHeight="true" outlineLevel="0" collapsed="false">
      <c r="A13" s="35"/>
      <c r="B13" s="32"/>
      <c r="C13" s="32"/>
      <c r="D13" s="24"/>
      <c r="E13" s="36"/>
      <c r="F13" s="36"/>
      <c r="G13" s="32"/>
    </row>
    <row r="14" customFormat="false" ht="19.5" hidden="false" customHeight="true" outlineLevel="0" collapsed="false">
      <c r="A14" s="35"/>
      <c r="B14" s="32"/>
      <c r="C14" s="32"/>
      <c r="D14" s="24"/>
      <c r="E14" s="36"/>
      <c r="F14" s="36"/>
      <c r="G14" s="32"/>
    </row>
    <row r="15" customFormat="false" ht="19.5" hidden="false" customHeight="true" outlineLevel="0" collapsed="false">
      <c r="A15" s="35"/>
      <c r="B15" s="32"/>
      <c r="C15" s="32"/>
      <c r="D15" s="24"/>
      <c r="E15" s="36"/>
      <c r="F15" s="36"/>
      <c r="G15" s="32"/>
    </row>
    <row r="16" customFormat="false" ht="19.5" hidden="false" customHeight="true" outlineLevel="0" collapsed="false">
      <c r="A16" s="35"/>
      <c r="B16" s="32"/>
      <c r="C16" s="32"/>
      <c r="D16" s="24"/>
      <c r="E16" s="36"/>
      <c r="F16" s="36"/>
      <c r="G16" s="32"/>
    </row>
    <row r="17" customFormat="false" ht="19.5" hidden="false" customHeight="true" outlineLevel="0" collapsed="false">
      <c r="A17" s="35"/>
      <c r="B17" s="32"/>
      <c r="C17" s="32"/>
      <c r="D17" s="24"/>
      <c r="E17" s="36"/>
      <c r="F17" s="36"/>
      <c r="G17" s="32"/>
    </row>
    <row r="18" customFormat="false" ht="19.5" hidden="false" customHeight="true" outlineLevel="0" collapsed="false">
      <c r="A18" s="35"/>
      <c r="B18" s="32"/>
      <c r="C18" s="32"/>
      <c r="D18" s="24"/>
      <c r="E18" s="36"/>
      <c r="F18" s="36"/>
      <c r="G18" s="3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2026-06-09T19:41:27Z</dcterms:created>
  <dc:creator>openpyxl</dc:creator>
  <dc:description/>
  <dc:language>en-US</dc:language>
  <cp:lastModifiedBy/>
  <dcterms:modified xsi:type="dcterms:W3CDTF">2026-06-09T19:41:27Z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