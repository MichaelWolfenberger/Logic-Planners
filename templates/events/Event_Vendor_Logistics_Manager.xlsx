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Vendor Directory" sheetId="2" state="visible" r:id="rId4"/>
    <sheet name="Load-In Schedu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<sst xmlns="http://schemas.openxmlformats.org/spreadsheetml/2006/main" count="56" uniqueCount="52">
  <si>
    <t xml:space="preserve">🚚  EVENT VENDOR &amp; LOGISTICS MANAGER</t>
  </si>
  <si>
    <t xml:space="preserve">Every vendor, contract, and load-in window — under control.</t>
  </si>
  <si>
    <t xml:space="preserve">VENDORS</t>
  </si>
  <si>
    <t xml:space="preserve">CONTRACT TOTAL</t>
  </si>
  <si>
    <t xml:space="preserve">DEPOSITS PAID</t>
  </si>
  <si>
    <t xml:space="preserve">BALANCE DUE</t>
  </si>
  <si>
    <t xml:space="preserve">BOOKING STATUS</t>
  </si>
  <si>
    <t xml:space="preserve">Status</t>
  </si>
  <si>
    <t xml:space="preserve">Vendors</t>
  </si>
  <si>
    <t xml:space="preserve">% of Total</t>
  </si>
  <si>
    <t xml:space="preserve">Booked</t>
  </si>
  <si>
    <t xml:space="preserve">Pending</t>
  </si>
  <si>
    <t xml:space="preserve">Cancelled</t>
  </si>
  <si>
    <t xml:space="preserve">PAYMENT PROGRESS</t>
  </si>
  <si>
    <t xml:space="preserve">Metric</t>
  </si>
  <si>
    <t xml:space="preserve">Amount</t>
  </si>
  <si>
    <t xml:space="preserve">% of Contracts</t>
  </si>
  <si>
    <t xml:space="preserve">Deposits paid</t>
  </si>
  <si>
    <t xml:space="preserve">Still owed</t>
  </si>
  <si>
    <t xml:space="preserve">💡 LOGISTICS RULES OF THUMB</t>
  </si>
  <si>
    <t xml:space="preserve">Confirm every vendor's arrival window 7 days out, then again 24 hours out.</t>
  </si>
  <si>
    <t xml:space="preserve">Schedule AV and rentals to load in before décor — cables come before centerpieces.</t>
  </si>
  <si>
    <t xml:space="preserve">Keep one printed copy of the Load-In Schedule on site. Phones die; paper doesn't.</t>
  </si>
  <si>
    <t xml:space="preserve">Vendor Directory &amp; Contracts</t>
  </si>
  <si>
    <t xml:space="preserve">Blue = enter your values  |  Status options: Booked / Pending / Cancelled</t>
  </si>
  <si>
    <t xml:space="preserve">#</t>
  </si>
  <si>
    <t xml:space="preserve">Vendor</t>
  </si>
  <si>
    <t xml:space="preserve">Service Category</t>
  </si>
  <si>
    <t xml:space="preserve">Contact Name</t>
  </si>
  <si>
    <t xml:space="preserve">Phone</t>
  </si>
  <si>
    <t xml:space="preserve">Email</t>
  </si>
  <si>
    <t xml:space="preserve">Contract Amt</t>
  </si>
  <si>
    <t xml:space="preserve">Deposit Paid</t>
  </si>
  <si>
    <t xml:space="preserve">Balance Due</t>
  </si>
  <si>
    <t xml:space="preserve">Notes</t>
  </si>
  <si>
    <t xml:space="preserve">Venue</t>
  </si>
  <si>
    <t xml:space="preserve">Catering</t>
  </si>
  <si>
    <t xml:space="preserve">AV / Production</t>
  </si>
  <si>
    <t xml:space="preserve">Entertainment</t>
  </si>
  <si>
    <t xml:space="preserve">Photography</t>
  </si>
  <si>
    <t xml:space="preserve">Florals / Décor</t>
  </si>
  <si>
    <t xml:space="preserve">Rentals</t>
  </si>
  <si>
    <t xml:space="preserve">Security</t>
  </si>
  <si>
    <t xml:space="preserve">Transportation</t>
  </si>
  <si>
    <t xml:space="preserve">Printing / Signage</t>
  </si>
  <si>
    <t xml:space="preserve">TOTAL</t>
  </si>
  <si>
    <t xml:space="preserve">Load-In / Load-Out Schedule</t>
  </si>
  <si>
    <t xml:space="preserve">Day-of logistics: who arrives when, where they set up, and who to call when they don't.</t>
  </si>
  <si>
    <t xml:space="preserve">Time</t>
  </si>
  <si>
    <t xml:space="preserve">Task</t>
  </si>
  <si>
    <t xml:space="preserve">Area / Location</t>
  </si>
  <si>
    <t xml:space="preserve">On-Site Contact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</si>
</sst>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;&quot;($&quot;#,##0\);\-"/>
    <numFmt numFmtId="167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"/>
      <color rgb="FF000000"/>
      <name val="Arial"/>
      <family val="0"/>
      <charset val="1"/>
    </font>
    <font>
      <b val="true"/>
      <sz val="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C4943A"/>
        <bgColor rgb="FF969696"/>
      </patternFill>
    </fill>
    <fill>
      <patternFill patternType="solid">
        <fgColor rgb="FFFFF8EE"/>
        <bgColor rgb="FFFEF8EE"/>
      </patternFill>
    </fill>
    <fill>
      <patternFill patternType="solid">
        <fgColor rgb="FFFFFFFF"/>
        <bgColor rgb="FFFFF8EE"/>
      </patternFill>
    </fill>
    <fill>
      <patternFill patternType="solid">
        <fgColor rgb="FFFEF8EE"/>
        <bgColor rgb="FFFFF8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E"/>
      <rgbColor rgb="FFFEF8EE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4943A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3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3" t="s">
        <v>3</v>
      </c>
      <c r="E4" s="3" t="s">
        <v>4</v>
      </c>
      <c r="G4" s="3" t="s">
        <v>5</v>
      </c>
    </row>
    <row r="5" customFormat="false" ht="15" hidden="false" customHeight="false" outlineLevel="0" collapsed="false">
      <c r="A5" s="4" t="n">
        <f aca="false">COUNTA('Vendor Directory'!B5:B24)</f>
        <v>0</v>
      </c>
      <c r="C5" s="5" t="n">
        <f aca="false">'Vendor Directory'!G25</f>
        <v>0</v>
      </c>
      <c r="E5" s="5" t="n">
        <f aca="false">'Vendor Directory'!H25</f>
        <v>0</v>
      </c>
      <c r="G5" s="5" t="n">
        <f aca="false">C5-E5</f>
        <v>0</v>
      </c>
    </row>
    <row r="8" customFormat="false" ht="15" hidden="false" customHeight="false" outlineLevel="0" collapsed="false">
      <c r="A8" s="1" t="s">
        <v>6</v>
      </c>
    </row>
    <row r="9" customFormat="false" ht="15" hidden="false" customHeight="false" outlineLevel="0" collapsed="false">
      <c r="A9" s="6" t="s">
        <v>7</v>
      </c>
      <c r="B9" s="6" t="s">
        <v>8</v>
      </c>
      <c r="C9" s="6" t="s">
        <v>9</v>
      </c>
    </row>
    <row r="10" customFormat="false" ht="15" hidden="false" customHeight="false" outlineLevel="0" collapsed="false">
      <c r="A10" s="7" t="s">
        <v>10</v>
      </c>
      <c r="B10" s="7" t="n">
        <f aca="false">COUNTIF('Vendor Directory'!J5:J24,"Booked")</f>
        <v>0</v>
      </c>
      <c r="C10" s="8" t="n">
        <f aca="false">IF($A$5=0,0,B10/$A$5)</f>
        <v>0</v>
      </c>
    </row>
    <row r="11" customFormat="false" ht="15" hidden="false" customHeight="false" outlineLevel="0" collapsed="false">
      <c r="A11" s="9" t="s">
        <v>11</v>
      </c>
      <c r="B11" s="9" t="n">
        <f aca="false">COUNTIF('Vendor Directory'!J5:J24,"Pending")</f>
        <v>0</v>
      </c>
      <c r="C11" s="10" t="n">
        <f aca="false">IF($A$5=0,0,B11/$A$5)</f>
        <v>0</v>
      </c>
    </row>
    <row r="12" customFormat="false" ht="15" hidden="false" customHeight="false" outlineLevel="0" collapsed="false">
      <c r="A12" s="7" t="s">
        <v>12</v>
      </c>
      <c r="B12" s="7" t="n">
        <f aca="false">COUNTIF('Vendor Directory'!J5:J24,"Cancelled")</f>
        <v>0</v>
      </c>
      <c r="C12" s="8" t="n">
        <f aca="false">IF($A$5=0,0,B12/$A$5)</f>
        <v>0</v>
      </c>
    </row>
    <row r="15" customFormat="false" ht="15" hidden="false" customHeight="false" outlineLevel="0" collapsed="false">
      <c r="A15" s="1" t="s">
        <v>13</v>
      </c>
    </row>
    <row r="16" customFormat="false" ht="15" hidden="false" customHeight="false" outlineLevel="0" collapsed="false">
      <c r="A16" s="6" t="s">
        <v>14</v>
      </c>
      <c r="B16" s="6" t="s">
        <v>15</v>
      </c>
      <c r="C16" s="6" t="s">
        <v>16</v>
      </c>
    </row>
    <row r="17" customFormat="false" ht="15" hidden="false" customHeight="false" outlineLevel="0" collapsed="false">
      <c r="A17" s="7" t="s">
        <v>17</v>
      </c>
      <c r="B17" s="11" t="n">
        <f aca="false">E5</f>
        <v>0</v>
      </c>
      <c r="C17" s="8" t="n">
        <f aca="false">IF(C5=0,0,E5/C5)</f>
        <v>0</v>
      </c>
    </row>
    <row r="18" customFormat="false" ht="15" hidden="false" customHeight="false" outlineLevel="0" collapsed="false">
      <c r="A18" s="9" t="s">
        <v>18</v>
      </c>
      <c r="B18" s="12" t="n">
        <f aca="false">G5</f>
        <v>0</v>
      </c>
      <c r="C18" s="10" t="n">
        <f aca="false">IF(C5=0,0,G5/C5)</f>
        <v>0</v>
      </c>
    </row>
    <row r="21" customFormat="false" ht="15" hidden="false" customHeight="false" outlineLevel="0" collapsed="false">
      <c r="A21" s="1" t="s">
        <v>19</v>
      </c>
    </row>
    <row r="22" customFormat="false" ht="15" hidden="false" customHeight="false" outlineLevel="0" collapsed="false">
      <c r="A22" s="2" t="s">
        <v>20</v>
      </c>
    </row>
    <row r="23" customFormat="false" ht="15" hidden="false" customHeight="false" outlineLevel="0" collapsed="false">
      <c r="A23" s="2" t="s">
        <v>21</v>
      </c>
    </row>
    <row r="24" customFormat="false" ht="15" hidden="false" customHeight="false" outlineLevel="0" collapsed="false">
      <c r="A24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9" min="7" style="0" width="13"/>
    <col collapsed="false" customWidth="true" hidden="false" outlineLevel="0" max="10" min="10" style="0" width="11"/>
    <col collapsed="false" customWidth="true" hidden="false" outlineLevel="0" max="11" min="11" style="0" width="22"/>
  </cols>
  <sheetData>
    <row r="1" customFormat="false" ht="1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15" hidden="false" customHeight="false" outlineLevel="0" collapsed="false">
      <c r="A4" s="6" t="s">
        <v>25</v>
      </c>
      <c r="B4" s="6" t="s">
        <v>26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31</v>
      </c>
      <c r="H4" s="6" t="s">
        <v>32</v>
      </c>
      <c r="I4" s="6" t="s">
        <v>33</v>
      </c>
      <c r="J4" s="6" t="s">
        <v>7</v>
      </c>
      <c r="K4" s="6" t="s">
        <v>34</v>
      </c>
    </row>
    <row r="5" customFormat="false" ht="15" hidden="false" customHeight="false" outlineLevel="0" collapsed="false">
      <c r="A5" s="13" t="n">
        <v>1</v>
      </c>
      <c r="B5" s="14"/>
      <c r="C5" s="14" t="s">
        <v>35</v>
      </c>
      <c r="D5" s="14"/>
      <c r="E5" s="14"/>
      <c r="F5" s="14"/>
      <c r="G5" s="15"/>
      <c r="H5" s="15"/>
      <c r="I5" s="11" t="str">
        <f aca="false">IF(G5="","-",G5-IF(H5="",0,H5))</f>
        <v>-</v>
      </c>
      <c r="J5" s="14"/>
      <c r="K5" s="14"/>
    </row>
    <row r="6" customFormat="false" ht="15" hidden="false" customHeight="false" outlineLevel="0" collapsed="false">
      <c r="A6" s="16" t="n">
        <v>2</v>
      </c>
      <c r="B6" s="14"/>
      <c r="C6" s="14" t="s">
        <v>36</v>
      </c>
      <c r="D6" s="14"/>
      <c r="E6" s="14"/>
      <c r="F6" s="14"/>
      <c r="G6" s="15"/>
      <c r="H6" s="15"/>
      <c r="I6" s="12" t="str">
        <f aca="false">IF(G6="","-",G6-IF(H6="",0,H6))</f>
        <v>-</v>
      </c>
      <c r="J6" s="14"/>
      <c r="K6" s="14"/>
    </row>
    <row r="7" customFormat="false" ht="15" hidden="false" customHeight="false" outlineLevel="0" collapsed="false">
      <c r="A7" s="13" t="n">
        <v>3</v>
      </c>
      <c r="B7" s="14"/>
      <c r="C7" s="14" t="s">
        <v>37</v>
      </c>
      <c r="D7" s="14"/>
      <c r="E7" s="14"/>
      <c r="F7" s="14"/>
      <c r="G7" s="15"/>
      <c r="H7" s="15"/>
      <c r="I7" s="11" t="str">
        <f aca="false">IF(G7="","-",G7-IF(H7="",0,H7))</f>
        <v>-</v>
      </c>
      <c r="J7" s="14"/>
      <c r="K7" s="14"/>
    </row>
    <row r="8" customFormat="false" ht="15" hidden="false" customHeight="false" outlineLevel="0" collapsed="false">
      <c r="A8" s="16" t="n">
        <v>4</v>
      </c>
      <c r="B8" s="14"/>
      <c r="C8" s="14" t="s">
        <v>38</v>
      </c>
      <c r="D8" s="14"/>
      <c r="E8" s="14"/>
      <c r="F8" s="14"/>
      <c r="G8" s="15"/>
      <c r="H8" s="15"/>
      <c r="I8" s="12" t="str">
        <f aca="false">IF(G8="","-",G8-IF(H8="",0,H8))</f>
        <v>-</v>
      </c>
      <c r="J8" s="14"/>
      <c r="K8" s="14"/>
    </row>
    <row r="9" customFormat="false" ht="15" hidden="false" customHeight="false" outlineLevel="0" collapsed="false">
      <c r="A9" s="13" t="n">
        <v>5</v>
      </c>
      <c r="B9" s="14"/>
      <c r="C9" s="14" t="s">
        <v>39</v>
      </c>
      <c r="D9" s="14"/>
      <c r="E9" s="14"/>
      <c r="F9" s="14"/>
      <c r="G9" s="15"/>
      <c r="H9" s="15"/>
      <c r="I9" s="11" t="str">
        <f aca="false">IF(G9="","-",G9-IF(H9="",0,H9))</f>
        <v>-</v>
      </c>
      <c r="J9" s="14"/>
      <c r="K9" s="14"/>
    </row>
    <row r="10" customFormat="false" ht="15" hidden="false" customHeight="false" outlineLevel="0" collapsed="false">
      <c r="A10" s="16" t="n">
        <v>6</v>
      </c>
      <c r="B10" s="14"/>
      <c r="C10" s="14" t="s">
        <v>40</v>
      </c>
      <c r="D10" s="14"/>
      <c r="E10" s="14"/>
      <c r="F10" s="14"/>
      <c r="G10" s="15"/>
      <c r="H10" s="15"/>
      <c r="I10" s="12" t="str">
        <f aca="false">IF(G10="","-",G10-IF(H10="",0,H10))</f>
        <v>-</v>
      </c>
      <c r="J10" s="14"/>
      <c r="K10" s="14"/>
    </row>
    <row r="11" customFormat="false" ht="15" hidden="false" customHeight="false" outlineLevel="0" collapsed="false">
      <c r="A11" s="13" t="n">
        <v>7</v>
      </c>
      <c r="B11" s="14"/>
      <c r="C11" s="14" t="s">
        <v>41</v>
      </c>
      <c r="D11" s="14"/>
      <c r="E11" s="14"/>
      <c r="F11" s="14"/>
      <c r="G11" s="15"/>
      <c r="H11" s="15"/>
      <c r="I11" s="11" t="str">
        <f aca="false">IF(G11="","-",G11-IF(H11="",0,H11))</f>
        <v>-</v>
      </c>
      <c r="J11" s="14"/>
      <c r="K11" s="14"/>
    </row>
    <row r="12" customFormat="false" ht="15" hidden="false" customHeight="false" outlineLevel="0" collapsed="false">
      <c r="A12" s="16" t="n">
        <v>8</v>
      </c>
      <c r="B12" s="14"/>
      <c r="C12" s="14" t="s">
        <v>42</v>
      </c>
      <c r="D12" s="14"/>
      <c r="E12" s="14"/>
      <c r="F12" s="14"/>
      <c r="G12" s="15"/>
      <c r="H12" s="15"/>
      <c r="I12" s="12" t="str">
        <f aca="false">IF(G12="","-",G12-IF(H12="",0,H12))</f>
        <v>-</v>
      </c>
      <c r="J12" s="14"/>
      <c r="K12" s="14"/>
    </row>
    <row r="13" customFormat="false" ht="15" hidden="false" customHeight="false" outlineLevel="0" collapsed="false">
      <c r="A13" s="13" t="n">
        <v>9</v>
      </c>
      <c r="B13" s="14"/>
      <c r="C13" s="14" t="s">
        <v>43</v>
      </c>
      <c r="D13" s="14"/>
      <c r="E13" s="14"/>
      <c r="F13" s="14"/>
      <c r="G13" s="15"/>
      <c r="H13" s="15"/>
      <c r="I13" s="11" t="str">
        <f aca="false">IF(G13="","-",G13-IF(H13="",0,H13))</f>
        <v>-</v>
      </c>
      <c r="J13" s="14"/>
      <c r="K13" s="14"/>
    </row>
    <row r="14" customFormat="false" ht="15" hidden="false" customHeight="false" outlineLevel="0" collapsed="false">
      <c r="A14" s="16" t="n">
        <v>10</v>
      </c>
      <c r="B14" s="14"/>
      <c r="C14" s="14" t="s">
        <v>44</v>
      </c>
      <c r="D14" s="14"/>
      <c r="E14" s="14"/>
      <c r="F14" s="14"/>
      <c r="G14" s="15"/>
      <c r="H14" s="15"/>
      <c r="I14" s="12" t="str">
        <f aca="false">IF(G14="","-",G14-IF(H14="",0,H14))</f>
        <v>-</v>
      </c>
      <c r="J14" s="14"/>
      <c r="K14" s="14"/>
    </row>
    <row r="15" customFormat="false" ht="15" hidden="false" customHeight="false" outlineLevel="0" collapsed="false">
      <c r="A15" s="13" t="n">
        <v>11</v>
      </c>
      <c r="B15" s="14"/>
      <c r="C15" s="14"/>
      <c r="D15" s="14"/>
      <c r="E15" s="14"/>
      <c r="F15" s="14"/>
      <c r="G15" s="15"/>
      <c r="H15" s="15"/>
      <c r="I15" s="11" t="str">
        <f aca="false">IF(G15="","-",G15-IF(H15="",0,H15))</f>
        <v>-</v>
      </c>
      <c r="J15" s="14"/>
      <c r="K15" s="14"/>
    </row>
    <row r="16" customFormat="false" ht="15" hidden="false" customHeight="false" outlineLevel="0" collapsed="false">
      <c r="A16" s="16" t="n">
        <v>12</v>
      </c>
      <c r="B16" s="14"/>
      <c r="C16" s="14"/>
      <c r="D16" s="14"/>
      <c r="E16" s="14"/>
      <c r="F16" s="14"/>
      <c r="G16" s="15"/>
      <c r="H16" s="15"/>
      <c r="I16" s="12" t="str">
        <f aca="false">IF(G16="","-",G16-IF(H16="",0,H16))</f>
        <v>-</v>
      </c>
      <c r="J16" s="14"/>
      <c r="K16" s="14"/>
    </row>
    <row r="17" customFormat="false" ht="15" hidden="false" customHeight="false" outlineLevel="0" collapsed="false">
      <c r="A17" s="13" t="n">
        <v>13</v>
      </c>
      <c r="B17" s="14"/>
      <c r="C17" s="14"/>
      <c r="D17" s="14"/>
      <c r="E17" s="14"/>
      <c r="F17" s="14"/>
      <c r="G17" s="15"/>
      <c r="H17" s="15"/>
      <c r="I17" s="11" t="str">
        <f aca="false">IF(G17="","-",G17-IF(H17="",0,H17))</f>
        <v>-</v>
      </c>
      <c r="J17" s="14"/>
      <c r="K17" s="14"/>
    </row>
    <row r="18" customFormat="false" ht="15" hidden="false" customHeight="false" outlineLevel="0" collapsed="false">
      <c r="A18" s="16" t="n">
        <v>14</v>
      </c>
      <c r="B18" s="14"/>
      <c r="C18" s="14"/>
      <c r="D18" s="14"/>
      <c r="E18" s="14"/>
      <c r="F18" s="14"/>
      <c r="G18" s="15"/>
      <c r="H18" s="15"/>
      <c r="I18" s="12" t="str">
        <f aca="false">IF(G18="","-",G18-IF(H18="",0,H18))</f>
        <v>-</v>
      </c>
      <c r="J18" s="14"/>
      <c r="K18" s="14"/>
    </row>
    <row r="19" customFormat="false" ht="15" hidden="false" customHeight="false" outlineLevel="0" collapsed="false">
      <c r="A19" s="13" t="n">
        <v>15</v>
      </c>
      <c r="B19" s="14"/>
      <c r="C19" s="14"/>
      <c r="D19" s="14"/>
      <c r="E19" s="14"/>
      <c r="F19" s="14"/>
      <c r="G19" s="15"/>
      <c r="H19" s="15"/>
      <c r="I19" s="11" t="str">
        <f aca="false">IF(G19="","-",G19-IF(H19="",0,H19))</f>
        <v>-</v>
      </c>
      <c r="J19" s="14"/>
      <c r="K19" s="14"/>
    </row>
    <row r="20" customFormat="false" ht="15" hidden="false" customHeight="false" outlineLevel="0" collapsed="false">
      <c r="A20" s="16" t="n">
        <v>16</v>
      </c>
      <c r="B20" s="14"/>
      <c r="C20" s="14"/>
      <c r="D20" s="14"/>
      <c r="E20" s="14"/>
      <c r="F20" s="14"/>
      <c r="G20" s="15"/>
      <c r="H20" s="15"/>
      <c r="I20" s="12" t="str">
        <f aca="false">IF(G20="","-",G20-IF(H20="",0,H20))</f>
        <v>-</v>
      </c>
      <c r="J20" s="14"/>
      <c r="K20" s="14"/>
    </row>
    <row r="21" customFormat="false" ht="15" hidden="false" customHeight="false" outlineLevel="0" collapsed="false">
      <c r="A21" s="13" t="n">
        <v>17</v>
      </c>
      <c r="B21" s="14"/>
      <c r="C21" s="14"/>
      <c r="D21" s="14"/>
      <c r="E21" s="14"/>
      <c r="F21" s="14"/>
      <c r="G21" s="15"/>
      <c r="H21" s="15"/>
      <c r="I21" s="11" t="str">
        <f aca="false">IF(G21="","-",G21-IF(H21="",0,H21))</f>
        <v>-</v>
      </c>
      <c r="J21" s="14"/>
      <c r="K21" s="14"/>
    </row>
    <row r="22" customFormat="false" ht="15" hidden="false" customHeight="false" outlineLevel="0" collapsed="false">
      <c r="A22" s="16" t="n">
        <v>18</v>
      </c>
      <c r="B22" s="14"/>
      <c r="C22" s="14"/>
      <c r="D22" s="14"/>
      <c r="E22" s="14"/>
      <c r="F22" s="14"/>
      <c r="G22" s="15"/>
      <c r="H22" s="15"/>
      <c r="I22" s="12" t="str">
        <f aca="false">IF(G22="","-",G22-IF(H22="",0,H22))</f>
        <v>-</v>
      </c>
      <c r="J22" s="14"/>
      <c r="K22" s="14"/>
    </row>
    <row r="23" customFormat="false" ht="15" hidden="false" customHeight="false" outlineLevel="0" collapsed="false">
      <c r="A23" s="13" t="n">
        <v>19</v>
      </c>
      <c r="B23" s="14"/>
      <c r="C23" s="14"/>
      <c r="D23" s="14"/>
      <c r="E23" s="14"/>
      <c r="F23" s="14"/>
      <c r="G23" s="15"/>
      <c r="H23" s="15"/>
      <c r="I23" s="11" t="str">
        <f aca="false">IF(G23="","-",G23-IF(H23="",0,H23))</f>
        <v>-</v>
      </c>
      <c r="J23" s="14"/>
      <c r="K23" s="14"/>
    </row>
    <row r="24" customFormat="false" ht="15" hidden="false" customHeight="false" outlineLevel="0" collapsed="false">
      <c r="A24" s="16" t="n">
        <v>20</v>
      </c>
      <c r="B24" s="14"/>
      <c r="C24" s="14"/>
      <c r="D24" s="14"/>
      <c r="E24" s="14"/>
      <c r="F24" s="14"/>
      <c r="G24" s="15"/>
      <c r="H24" s="15"/>
      <c r="I24" s="12" t="str">
        <f aca="false">IF(G24="","-",G24-IF(H24="",0,H24))</f>
        <v>-</v>
      </c>
      <c r="J24" s="14"/>
      <c r="K24" s="14"/>
    </row>
    <row r="25" customFormat="false" ht="15" hidden="false" customHeight="false" outlineLevel="0" collapsed="false">
      <c r="A25" s="17"/>
      <c r="B25" s="3" t="s">
        <v>45</v>
      </c>
      <c r="C25" s="17"/>
      <c r="D25" s="17"/>
      <c r="E25" s="17"/>
      <c r="F25" s="17"/>
      <c r="G25" s="18" t="n">
        <f aca="false">SUM(G5:G24)</f>
        <v>0</v>
      </c>
      <c r="H25" s="18" t="n">
        <f aca="false">SUM(H5:H24)</f>
        <v>0</v>
      </c>
      <c r="I25" s="18" t="n">
        <f aca="false">G25-H25</f>
        <v>0</v>
      </c>
      <c r="J25" s="17"/>
      <c r="K25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6" t="s">
        <v>48</v>
      </c>
      <c r="B4" s="6" t="s">
        <v>26</v>
      </c>
      <c r="C4" s="6" t="s">
        <v>49</v>
      </c>
      <c r="D4" s="6" t="s">
        <v>50</v>
      </c>
      <c r="E4" s="6" t="s">
        <v>51</v>
      </c>
      <c r="F4" s="6" t="s">
        <v>29</v>
      </c>
      <c r="G4" s="6" t="s">
        <v>7</v>
      </c>
    </row>
    <row r="5" customFormat="false" ht="15" hidden="false" customHeight="false" outlineLevel="0" collapsed="false">
      <c r="A5" s="14"/>
      <c r="B5" s="14"/>
      <c r="C5" s="14"/>
      <c r="D5" s="14"/>
      <c r="E5" s="14"/>
      <c r="F5" s="14"/>
      <c r="G5" s="14"/>
    </row>
    <row r="6" customFormat="false" ht="15" hidden="false" customHeight="false" outlineLevel="0" collapsed="false">
      <c r="A6" s="14"/>
      <c r="B6" s="14"/>
      <c r="C6" s="14"/>
      <c r="D6" s="14"/>
      <c r="E6" s="14"/>
      <c r="F6" s="14"/>
      <c r="G6" s="14"/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  <c r="G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  <c r="G25" s="14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  <c r="G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  <c r="G29" s="14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  <c r="G30" s="14"/>
    </row>
    <row r="31" customFormat="false" ht="15" hidden="false" customHeight="false" outlineLevel="0" collapsed="false">
      <c r="A31" s="14"/>
      <c r="B31" s="14"/>
      <c r="C31" s="14"/>
      <c r="D31" s="14"/>
      <c r="E31" s="14"/>
      <c r="F31" s="14"/>
      <c r="G31" s="14"/>
    </row>
    <row r="32" customFormat="false" ht="15" hidden="false" customHeight="false" outlineLevel="0" collapsed="false">
      <c r="A32" s="14"/>
      <c r="B32" s="14"/>
      <c r="C32" s="14"/>
      <c r="D32" s="14"/>
      <c r="E32" s="14"/>
      <c r="F32" s="14"/>
      <c r="G32" s="14"/>
    </row>
    <row r="33" customFormat="false" ht="15" hidden="false" customHeight="false" outlineLevel="0" collapsed="false">
      <c r="A33" s="14"/>
      <c r="B33" s="14"/>
      <c r="C33" s="14"/>
      <c r="D33" s="14"/>
      <c r="E33" s="14"/>
      <c r="F33" s="14"/>
      <c r="G33" s="14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2026-06-12T15:38:15Z</dcterms:created>
  <dc:creator>openpyxl</dc:creator>
  <dc:description/>
  <dc:language>en-US</dc:language>
  <cp:lastModifiedBy/>
  <dcterms:modified xsi:type="dcterms:W3CDTF">2026-06-12T15:38:15Z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